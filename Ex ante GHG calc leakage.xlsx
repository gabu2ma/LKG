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shell.com/personal/g_martinezdelahoz_shell_com/Documents/Documents/Projects/Tausi/"/>
    </mc:Choice>
  </mc:AlternateContent>
  <xr:revisionPtr revIDLastSave="782" documentId="8_{656D6E4C-1687-4DA5-8AB3-F53E5C338D5D}" xr6:coauthVersionLast="47" xr6:coauthVersionMax="47" xr10:uidLastSave="{D121AB04-21ED-4E48-8724-D90EAB5E9222}"/>
  <bookViews>
    <workbookView xWindow="-25410" yWindow="-3190" windowWidth="25160" windowHeight="12820" xr2:uid="{A72FAA88-0945-43F7-B047-516D897636F9}"/>
  </bookViews>
  <sheets>
    <sheet name="LK agric,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1" l="1"/>
  <c r="J63" i="1" s="1"/>
  <c r="CB21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H58" i="1"/>
  <c r="DH59" i="1"/>
  <c r="DH60" i="1"/>
  <c r="DH61" i="1"/>
  <c r="DH62" i="1"/>
  <c r="DH23" i="1"/>
  <c r="DG23" i="1"/>
  <c r="DG24" i="1"/>
  <c r="DG25" i="1"/>
  <c r="DG26" i="1"/>
  <c r="DG27" i="1"/>
  <c r="DG28" i="1"/>
  <c r="DG29" i="1"/>
  <c r="DG30" i="1"/>
  <c r="CA30" i="1" s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F53" i="1"/>
  <c r="DF54" i="1"/>
  <c r="DF55" i="1"/>
  <c r="DF56" i="1"/>
  <c r="DF57" i="1"/>
  <c r="DF58" i="1"/>
  <c r="DF59" i="1"/>
  <c r="DF60" i="1"/>
  <c r="DF61" i="1"/>
  <c r="DF62" i="1"/>
  <c r="DF52" i="1"/>
  <c r="DE52" i="1"/>
  <c r="DE53" i="1"/>
  <c r="DE54" i="1"/>
  <c r="DE55" i="1"/>
  <c r="DE56" i="1"/>
  <c r="DE57" i="1"/>
  <c r="DE58" i="1"/>
  <c r="DE59" i="1"/>
  <c r="DE60" i="1"/>
  <c r="DE61" i="1"/>
  <c r="DE62" i="1"/>
  <c r="DE51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50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49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48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47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46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45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44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43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42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41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40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39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38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37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36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35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34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M33" i="1"/>
  <c r="CL32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31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30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29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28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27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26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25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24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23" i="1"/>
  <c r="CA27" i="1"/>
  <c r="CA26" i="1"/>
  <c r="CA24" i="1"/>
  <c r="BW55" i="1"/>
  <c r="BW56" i="1"/>
  <c r="BW59" i="1"/>
  <c r="BW52" i="1"/>
  <c r="BV52" i="1"/>
  <c r="BV55" i="1"/>
  <c r="BV59" i="1"/>
  <c r="BV60" i="1"/>
  <c r="BV51" i="1"/>
  <c r="BU55" i="1"/>
  <c r="BT52" i="1"/>
  <c r="BT56" i="1"/>
  <c r="BT57" i="1"/>
  <c r="BT60" i="1"/>
  <c r="BS49" i="1"/>
  <c r="BS50" i="1"/>
  <c r="BS53" i="1"/>
  <c r="BS57" i="1"/>
  <c r="BS58" i="1"/>
  <c r="BS61" i="1"/>
  <c r="BR53" i="1"/>
  <c r="BR57" i="1"/>
  <c r="BQ49" i="1"/>
  <c r="BQ57" i="1"/>
  <c r="BQ60" i="1"/>
  <c r="BP46" i="1"/>
  <c r="BP47" i="1"/>
  <c r="BP50" i="1"/>
  <c r="BP54" i="1"/>
  <c r="BP55" i="1"/>
  <c r="BP58" i="1"/>
  <c r="BP62" i="1"/>
  <c r="BP45" i="1"/>
  <c r="BO47" i="1"/>
  <c r="BO51" i="1"/>
  <c r="BO52" i="1"/>
  <c r="BO55" i="1"/>
  <c r="BO59" i="1"/>
  <c r="BO60" i="1"/>
  <c r="BO44" i="1"/>
  <c r="BN47" i="1"/>
  <c r="BN48" i="1"/>
  <c r="BN51" i="1"/>
  <c r="BN55" i="1"/>
  <c r="BN56" i="1"/>
  <c r="BN59" i="1"/>
  <c r="BN43" i="1"/>
  <c r="BM43" i="1"/>
  <c r="BM46" i="1"/>
  <c r="BM50" i="1"/>
  <c r="BM51" i="1"/>
  <c r="BM54" i="1"/>
  <c r="BM58" i="1"/>
  <c r="BM59" i="1"/>
  <c r="BM62" i="1"/>
  <c r="BL44" i="1"/>
  <c r="BL45" i="1"/>
  <c r="BL56" i="1"/>
  <c r="BL61" i="1"/>
  <c r="BL62" i="1"/>
  <c r="BK41" i="1"/>
  <c r="BK45" i="1"/>
  <c r="BK46" i="1"/>
  <c r="BK49" i="1"/>
  <c r="BK53" i="1"/>
  <c r="BK54" i="1"/>
  <c r="BK57" i="1"/>
  <c r="BK60" i="1"/>
  <c r="BK61" i="1"/>
  <c r="BK62" i="1"/>
  <c r="BJ41" i="1"/>
  <c r="BJ45" i="1"/>
  <c r="BJ46" i="1"/>
  <c r="BJ49" i="1"/>
  <c r="BJ53" i="1"/>
  <c r="BJ54" i="1"/>
  <c r="BJ57" i="1"/>
  <c r="BJ59" i="1"/>
  <c r="BJ60" i="1"/>
  <c r="BJ61" i="1"/>
  <c r="BJ62" i="1"/>
  <c r="BI45" i="1"/>
  <c r="BI48" i="1"/>
  <c r="BI58" i="1"/>
  <c r="BI59" i="1"/>
  <c r="BI60" i="1"/>
  <c r="BI61" i="1"/>
  <c r="BI62" i="1"/>
  <c r="BH46" i="1"/>
  <c r="BH54" i="1"/>
  <c r="BH57" i="1"/>
  <c r="BH58" i="1"/>
  <c r="BH59" i="1"/>
  <c r="BH60" i="1"/>
  <c r="BH61" i="1"/>
  <c r="BH62" i="1"/>
  <c r="BG39" i="1"/>
  <c r="BG40" i="1"/>
  <c r="BG43" i="1"/>
  <c r="BG47" i="1"/>
  <c r="BG48" i="1"/>
  <c r="BG51" i="1"/>
  <c r="BG55" i="1"/>
  <c r="BG56" i="1"/>
  <c r="BG57" i="1"/>
  <c r="BG58" i="1"/>
  <c r="BG59" i="1"/>
  <c r="BG60" i="1"/>
  <c r="BG61" i="1"/>
  <c r="BG62" i="1"/>
  <c r="BG36" i="1"/>
  <c r="BF36" i="1"/>
  <c r="BF39" i="1"/>
  <c r="BF43" i="1"/>
  <c r="BF44" i="1"/>
  <c r="BF47" i="1"/>
  <c r="BF51" i="1"/>
  <c r="BF52" i="1"/>
  <c r="BF55" i="1"/>
  <c r="BF56" i="1"/>
  <c r="BF57" i="1"/>
  <c r="BF58" i="1"/>
  <c r="BF59" i="1"/>
  <c r="BF60" i="1"/>
  <c r="BF61" i="1"/>
  <c r="BF62" i="1"/>
  <c r="BF35" i="1"/>
  <c r="BE38" i="1"/>
  <c r="BE39" i="1"/>
  <c r="BE42" i="1"/>
  <c r="BE46" i="1"/>
  <c r="BE47" i="1"/>
  <c r="BE50" i="1"/>
  <c r="BE54" i="1"/>
  <c r="BE55" i="1"/>
  <c r="BE56" i="1"/>
  <c r="BE57" i="1"/>
  <c r="BE58" i="1"/>
  <c r="BE59" i="1"/>
  <c r="BE60" i="1"/>
  <c r="BE61" i="1"/>
  <c r="BE62" i="1"/>
  <c r="BE34" i="1"/>
  <c r="BD41" i="1"/>
  <c r="BD44" i="1"/>
  <c r="BD53" i="1"/>
  <c r="BD54" i="1"/>
  <c r="BD55" i="1"/>
  <c r="BD56" i="1"/>
  <c r="BD57" i="1"/>
  <c r="BD58" i="1"/>
  <c r="BD59" i="1"/>
  <c r="BD60" i="1"/>
  <c r="BD61" i="1"/>
  <c r="BD62" i="1"/>
  <c r="BC33" i="1"/>
  <c r="BC34" i="1"/>
  <c r="BC37" i="1"/>
  <c r="BC41" i="1"/>
  <c r="BC42" i="1"/>
  <c r="BC45" i="1"/>
  <c r="BC49" i="1"/>
  <c r="BC50" i="1"/>
  <c r="BC52" i="1"/>
  <c r="BC53" i="1"/>
  <c r="BC54" i="1"/>
  <c r="BC55" i="1"/>
  <c r="BC56" i="1"/>
  <c r="BC57" i="1"/>
  <c r="BC58" i="1"/>
  <c r="BC59" i="1"/>
  <c r="BC60" i="1"/>
  <c r="BC61" i="1"/>
  <c r="BC62" i="1"/>
  <c r="BB33" i="1"/>
  <c r="BB34" i="1"/>
  <c r="BB37" i="1"/>
  <c r="BB41" i="1"/>
  <c r="BB42" i="1"/>
  <c r="BB45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A36" i="1"/>
  <c r="BA40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AZ34" i="1"/>
  <c r="AZ42" i="1"/>
  <c r="AZ46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29" i="1"/>
  <c r="AY31" i="1"/>
  <c r="AY35" i="1"/>
  <c r="AY36" i="1"/>
  <c r="AY39" i="1"/>
  <c r="AY43" i="1"/>
  <c r="AY44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28" i="1"/>
  <c r="AX31" i="1"/>
  <c r="AX32" i="1"/>
  <c r="AX35" i="1"/>
  <c r="AX39" i="1"/>
  <c r="AX40" i="1"/>
  <c r="AX43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27" i="1"/>
  <c r="AW27" i="1"/>
  <c r="AW30" i="1"/>
  <c r="AW34" i="1"/>
  <c r="AW35" i="1"/>
  <c r="AW38" i="1"/>
  <c r="AW42" i="1"/>
  <c r="AW43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V28" i="1"/>
  <c r="AV29" i="1"/>
  <c r="AV40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T25" i="1"/>
  <c r="AT29" i="1"/>
  <c r="AT30" i="1"/>
  <c r="AT33" i="1"/>
  <c r="AT37" i="1"/>
  <c r="AT38" i="1"/>
  <c r="AT41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S30" i="1"/>
  <c r="AS33" i="1"/>
  <c r="AS45" i="1"/>
  <c r="AS53" i="1"/>
  <c r="AS54" i="1"/>
  <c r="AQ24" i="1"/>
  <c r="AQ25" i="1"/>
  <c r="AQ26" i="1"/>
  <c r="AW28" i="1" s="1"/>
  <c r="AQ27" i="1"/>
  <c r="AX33" i="1" s="1"/>
  <c r="AQ28" i="1"/>
  <c r="AY29" i="1" s="1"/>
  <c r="AQ29" i="1"/>
  <c r="AZ30" i="1" s="1"/>
  <c r="AQ30" i="1"/>
  <c r="BA48" i="1" s="1"/>
  <c r="AQ31" i="1"/>
  <c r="BB35" i="1" s="1"/>
  <c r="AQ32" i="1"/>
  <c r="BC35" i="1" s="1"/>
  <c r="AQ33" i="1"/>
  <c r="BD40" i="1" s="1"/>
  <c r="AQ34" i="1"/>
  <c r="BE40" i="1" s="1"/>
  <c r="AQ35" i="1"/>
  <c r="BF37" i="1" s="1"/>
  <c r="AQ36" i="1"/>
  <c r="BG41" i="1" s="1"/>
  <c r="AQ37" i="1"/>
  <c r="BH42" i="1" s="1"/>
  <c r="AQ38" i="1"/>
  <c r="BI56" i="1" s="1"/>
  <c r="AQ39" i="1"/>
  <c r="BJ47" i="1" s="1"/>
  <c r="AQ40" i="1"/>
  <c r="BK47" i="1" s="1"/>
  <c r="AQ41" i="1"/>
  <c r="AQ42" i="1"/>
  <c r="BN49" i="1" s="1"/>
  <c r="AQ43" i="1"/>
  <c r="BO45" i="1" s="1"/>
  <c r="AQ44" i="1"/>
  <c r="BP48" i="1" s="1"/>
  <c r="AQ45" i="1"/>
  <c r="BQ48" i="1" s="1"/>
  <c r="AQ46" i="1"/>
  <c r="BR49" i="1" s="1"/>
  <c r="AQ47" i="1"/>
  <c r="BS51" i="1" s="1"/>
  <c r="AQ48" i="1"/>
  <c r="BT50" i="1" s="1"/>
  <c r="AQ49" i="1"/>
  <c r="AS49" i="1" s="1"/>
  <c r="AQ50" i="1"/>
  <c r="BV53" i="1" s="1"/>
  <c r="AQ51" i="1"/>
  <c r="BW57" i="1" s="1"/>
  <c r="AQ52" i="1"/>
  <c r="AS52" i="1" s="1"/>
  <c r="AQ53" i="1"/>
  <c r="AQ54" i="1"/>
  <c r="AQ55" i="1"/>
  <c r="AS55" i="1" s="1"/>
  <c r="AQ56" i="1"/>
  <c r="AS56" i="1" s="1"/>
  <c r="AQ57" i="1"/>
  <c r="AS57" i="1" s="1"/>
  <c r="AQ58" i="1"/>
  <c r="AS58" i="1" s="1"/>
  <c r="AQ59" i="1"/>
  <c r="AS59" i="1" s="1"/>
  <c r="AQ60" i="1"/>
  <c r="AS60" i="1" s="1"/>
  <c r="AQ61" i="1"/>
  <c r="AS61" i="1" s="1"/>
  <c r="AQ62" i="1"/>
  <c r="AS62" i="1" s="1"/>
  <c r="AQ23" i="1"/>
  <c r="AT31" i="1" s="1"/>
  <c r="F63" i="1"/>
  <c r="H26" i="1"/>
  <c r="H7" i="1"/>
  <c r="H23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24" i="1"/>
  <c r="AU25" i="1" s="1"/>
  <c r="H25" i="1"/>
  <c r="M25" i="1" s="1"/>
  <c r="E28" i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26" i="1"/>
  <c r="E25" i="1" s="1"/>
  <c r="E24" i="1" s="1"/>
  <c r="E23" i="1" s="1"/>
  <c r="D24" i="1"/>
  <c r="AU41" i="1" l="1"/>
  <c r="AU38" i="1"/>
  <c r="AU31" i="1"/>
  <c r="AU37" i="1"/>
  <c r="AU33" i="1"/>
  <c r="AU30" i="1"/>
  <c r="AU29" i="1"/>
  <c r="CA42" i="1"/>
  <c r="CA38" i="1"/>
  <c r="CA46" i="1"/>
  <c r="CA60" i="1"/>
  <c r="CA52" i="1"/>
  <c r="CA36" i="1"/>
  <c r="CA59" i="1"/>
  <c r="CA51" i="1"/>
  <c r="CA43" i="1"/>
  <c r="CA35" i="1"/>
  <c r="CA34" i="1"/>
  <c r="CA57" i="1"/>
  <c r="CA41" i="1"/>
  <c r="CA58" i="1"/>
  <c r="CA49" i="1"/>
  <c r="CA40" i="1"/>
  <c r="CA33" i="1"/>
  <c r="CA55" i="1"/>
  <c r="CA47" i="1"/>
  <c r="CA39" i="1"/>
  <c r="CA45" i="1"/>
  <c r="CA61" i="1"/>
  <c r="CA32" i="1"/>
  <c r="CA28" i="1"/>
  <c r="CA48" i="1"/>
  <c r="CA56" i="1"/>
  <c r="CA44" i="1"/>
  <c r="CA31" i="1"/>
  <c r="CA53" i="1"/>
  <c r="CA62" i="1"/>
  <c r="CA54" i="1"/>
  <c r="CA37" i="1"/>
  <c r="CA25" i="1"/>
  <c r="CA50" i="1"/>
  <c r="CA29" i="1"/>
  <c r="AS29" i="1"/>
  <c r="AZ39" i="1"/>
  <c r="BA33" i="1"/>
  <c r="BH51" i="1"/>
  <c r="BI44" i="1"/>
  <c r="BQ56" i="1"/>
  <c r="BR50" i="1"/>
  <c r="BU56" i="1"/>
  <c r="BU57" i="1"/>
  <c r="BU51" i="1"/>
  <c r="BU59" i="1"/>
  <c r="BU52" i="1"/>
  <c r="BU60" i="1"/>
  <c r="BU54" i="1"/>
  <c r="BU53" i="1"/>
  <c r="BU61" i="1"/>
  <c r="BU62" i="1"/>
  <c r="BL46" i="1"/>
  <c r="BL54" i="1"/>
  <c r="BL47" i="1"/>
  <c r="BL55" i="1"/>
  <c r="BL41" i="1"/>
  <c r="BL49" i="1"/>
  <c r="BL57" i="1"/>
  <c r="BL42" i="1"/>
  <c r="BL50" i="1"/>
  <c r="BL58" i="1"/>
  <c r="BL43" i="1"/>
  <c r="BL51" i="1"/>
  <c r="BL59" i="1"/>
  <c r="BD34" i="1"/>
  <c r="BD42" i="1"/>
  <c r="BD50" i="1"/>
  <c r="BD35" i="1"/>
  <c r="BD43" i="1"/>
  <c r="BD51" i="1"/>
  <c r="BD37" i="1"/>
  <c r="BD45" i="1"/>
  <c r="BD38" i="1"/>
  <c r="BD46" i="1"/>
  <c r="BD39" i="1"/>
  <c r="BD47" i="1"/>
  <c r="BD33" i="1"/>
  <c r="AV30" i="1"/>
  <c r="AV38" i="1"/>
  <c r="AV31" i="1"/>
  <c r="AV39" i="1"/>
  <c r="AV25" i="1"/>
  <c r="AV33" i="1"/>
  <c r="AV41" i="1"/>
  <c r="AV26" i="1"/>
  <c r="AV34" i="1"/>
  <c r="AV42" i="1"/>
  <c r="AV27" i="1"/>
  <c r="AV35" i="1"/>
  <c r="AV43" i="1"/>
  <c r="AS46" i="1"/>
  <c r="AS25" i="1"/>
  <c r="AV44" i="1"/>
  <c r="AZ38" i="1"/>
  <c r="BA32" i="1"/>
  <c r="BD36" i="1"/>
  <c r="BH50" i="1"/>
  <c r="BI40" i="1"/>
  <c r="BL60" i="1"/>
  <c r="BQ52" i="1"/>
  <c r="AS41" i="1"/>
  <c r="AV37" i="1"/>
  <c r="AZ31" i="1"/>
  <c r="BD52" i="1"/>
  <c r="BH43" i="1"/>
  <c r="BL53" i="1"/>
  <c r="BR51" i="1"/>
  <c r="BR59" i="1"/>
  <c r="BR52" i="1"/>
  <c r="BR60" i="1"/>
  <c r="BR54" i="1"/>
  <c r="BR62" i="1"/>
  <c r="BR55" i="1"/>
  <c r="BR47" i="1"/>
  <c r="BR48" i="1"/>
  <c r="BR56" i="1"/>
  <c r="BI46" i="1"/>
  <c r="BI54" i="1"/>
  <c r="BI39" i="1"/>
  <c r="BI47" i="1"/>
  <c r="BI55" i="1"/>
  <c r="BI38" i="1"/>
  <c r="BI41" i="1"/>
  <c r="BI49" i="1"/>
  <c r="BI57" i="1"/>
  <c r="BI42" i="1"/>
  <c r="BI50" i="1"/>
  <c r="BI43" i="1"/>
  <c r="BI51" i="1"/>
  <c r="BA34" i="1"/>
  <c r="BA42" i="1"/>
  <c r="BA35" i="1"/>
  <c r="BA43" i="1"/>
  <c r="BA37" i="1"/>
  <c r="BA45" i="1"/>
  <c r="BA38" i="1"/>
  <c r="BA46" i="1"/>
  <c r="BA31" i="1"/>
  <c r="BA39" i="1"/>
  <c r="BA47" i="1"/>
  <c r="BA30" i="1"/>
  <c r="AS38" i="1"/>
  <c r="AV36" i="1"/>
  <c r="BA44" i="1"/>
  <c r="BD49" i="1"/>
  <c r="BI53" i="1"/>
  <c r="BL52" i="1"/>
  <c r="BR61" i="1"/>
  <c r="BU50" i="1"/>
  <c r="BQ50" i="1"/>
  <c r="BQ58" i="1"/>
  <c r="BQ51" i="1"/>
  <c r="BQ59" i="1"/>
  <c r="BQ53" i="1"/>
  <c r="BQ61" i="1"/>
  <c r="BQ54" i="1"/>
  <c r="BQ62" i="1"/>
  <c r="BQ47" i="1"/>
  <c r="BQ55" i="1"/>
  <c r="BQ46" i="1"/>
  <c r="BH44" i="1"/>
  <c r="BH52" i="1"/>
  <c r="BH45" i="1"/>
  <c r="BH53" i="1"/>
  <c r="BH39" i="1"/>
  <c r="BH47" i="1"/>
  <c r="BH55" i="1"/>
  <c r="BH37" i="1"/>
  <c r="BH40" i="1"/>
  <c r="BH48" i="1"/>
  <c r="BH56" i="1"/>
  <c r="BH41" i="1"/>
  <c r="BH49" i="1"/>
  <c r="AZ32" i="1"/>
  <c r="AZ40" i="1"/>
  <c r="AZ48" i="1"/>
  <c r="AZ33" i="1"/>
  <c r="AZ41" i="1"/>
  <c r="AZ35" i="1"/>
  <c r="AZ43" i="1"/>
  <c r="AZ36" i="1"/>
  <c r="AZ44" i="1"/>
  <c r="AZ37" i="1"/>
  <c r="AZ45" i="1"/>
  <c r="AS37" i="1"/>
  <c r="AV32" i="1"/>
  <c r="AZ47" i="1"/>
  <c r="BA41" i="1"/>
  <c r="BD48" i="1"/>
  <c r="BH38" i="1"/>
  <c r="BI52" i="1"/>
  <c r="BL48" i="1"/>
  <c r="BR58" i="1"/>
  <c r="BU58" i="1"/>
  <c r="AS44" i="1"/>
  <c r="AS36" i="1"/>
  <c r="AS28" i="1"/>
  <c r="AT36" i="1"/>
  <c r="AT28" i="1"/>
  <c r="AU36" i="1"/>
  <c r="AU28" i="1"/>
  <c r="AW41" i="1"/>
  <c r="AW33" i="1"/>
  <c r="AX46" i="1"/>
  <c r="AX38" i="1"/>
  <c r="AX30" i="1"/>
  <c r="AY42" i="1"/>
  <c r="AY34" i="1"/>
  <c r="BB48" i="1"/>
  <c r="BB40" i="1"/>
  <c r="BB32" i="1"/>
  <c r="BC48" i="1"/>
  <c r="BC40" i="1"/>
  <c r="BE53" i="1"/>
  <c r="BE45" i="1"/>
  <c r="BE37" i="1"/>
  <c r="BF50" i="1"/>
  <c r="BF42" i="1"/>
  <c r="BG54" i="1"/>
  <c r="BG46" i="1"/>
  <c r="BG38" i="1"/>
  <c r="BJ52" i="1"/>
  <c r="BJ44" i="1"/>
  <c r="BK52" i="1"/>
  <c r="BK44" i="1"/>
  <c r="BM57" i="1"/>
  <c r="BM49" i="1"/>
  <c r="BN62" i="1"/>
  <c r="BN54" i="1"/>
  <c r="BN46" i="1"/>
  <c r="BO58" i="1"/>
  <c r="BO50" i="1"/>
  <c r="BP61" i="1"/>
  <c r="BP53" i="1"/>
  <c r="BS56" i="1"/>
  <c r="BT49" i="1"/>
  <c r="BT55" i="1"/>
  <c r="BV58" i="1"/>
  <c r="BW62" i="1"/>
  <c r="BW54" i="1"/>
  <c r="AS51" i="1"/>
  <c r="AS43" i="1"/>
  <c r="AS35" i="1"/>
  <c r="AS27" i="1"/>
  <c r="AT35" i="1"/>
  <c r="AT27" i="1"/>
  <c r="AU43" i="1"/>
  <c r="AU35" i="1"/>
  <c r="AU27" i="1"/>
  <c r="AW40" i="1"/>
  <c r="AW32" i="1"/>
  <c r="AX45" i="1"/>
  <c r="AX37" i="1"/>
  <c r="AX29" i="1"/>
  <c r="AY41" i="1"/>
  <c r="AY33" i="1"/>
  <c r="BB31" i="1"/>
  <c r="BB47" i="1"/>
  <c r="BB39" i="1"/>
  <c r="BC32" i="1"/>
  <c r="BC47" i="1"/>
  <c r="BC39" i="1"/>
  <c r="BE52" i="1"/>
  <c r="BE44" i="1"/>
  <c r="BE36" i="1"/>
  <c r="BF49" i="1"/>
  <c r="BF41" i="1"/>
  <c r="BG53" i="1"/>
  <c r="BG45" i="1"/>
  <c r="BG37" i="1"/>
  <c r="BJ51" i="1"/>
  <c r="BJ43" i="1"/>
  <c r="BK59" i="1"/>
  <c r="BK51" i="1"/>
  <c r="BK43" i="1"/>
  <c r="BM56" i="1"/>
  <c r="BM48" i="1"/>
  <c r="BN61" i="1"/>
  <c r="BN53" i="1"/>
  <c r="BN45" i="1"/>
  <c r="BO57" i="1"/>
  <c r="BO49" i="1"/>
  <c r="BP60" i="1"/>
  <c r="BP52" i="1"/>
  <c r="BS48" i="1"/>
  <c r="BS55" i="1"/>
  <c r="BT62" i="1"/>
  <c r="BT54" i="1"/>
  <c r="BV57" i="1"/>
  <c r="BW61" i="1"/>
  <c r="BW53" i="1"/>
  <c r="AS50" i="1"/>
  <c r="AS42" i="1"/>
  <c r="AS34" i="1"/>
  <c r="AS26" i="1"/>
  <c r="AT42" i="1"/>
  <c r="AT34" i="1"/>
  <c r="AT26" i="1"/>
  <c r="AU42" i="1"/>
  <c r="AU34" i="1"/>
  <c r="AU26" i="1"/>
  <c r="AW26" i="1"/>
  <c r="AW39" i="1"/>
  <c r="AW31" i="1"/>
  <c r="AX44" i="1"/>
  <c r="AX36" i="1"/>
  <c r="AX28" i="1"/>
  <c r="AY40" i="1"/>
  <c r="AY32" i="1"/>
  <c r="BB46" i="1"/>
  <c r="BB38" i="1"/>
  <c r="BC46" i="1"/>
  <c r="BC38" i="1"/>
  <c r="BE51" i="1"/>
  <c r="BE43" i="1"/>
  <c r="BE35" i="1"/>
  <c r="BF48" i="1"/>
  <c r="BF40" i="1"/>
  <c r="BG52" i="1"/>
  <c r="BG44" i="1"/>
  <c r="BJ58" i="1"/>
  <c r="BJ50" i="1"/>
  <c r="BJ42" i="1"/>
  <c r="BK58" i="1"/>
  <c r="BK50" i="1"/>
  <c r="BK42" i="1"/>
  <c r="BM42" i="1"/>
  <c r="BM55" i="1"/>
  <c r="BM47" i="1"/>
  <c r="BN60" i="1"/>
  <c r="BN52" i="1"/>
  <c r="BN44" i="1"/>
  <c r="BO56" i="1"/>
  <c r="BO48" i="1"/>
  <c r="BP59" i="1"/>
  <c r="BP51" i="1"/>
  <c r="BS62" i="1"/>
  <c r="BS54" i="1"/>
  <c r="BT61" i="1"/>
  <c r="BT53" i="1"/>
  <c r="BV56" i="1"/>
  <c r="BW60" i="1"/>
  <c r="AS48" i="1"/>
  <c r="AS40" i="1"/>
  <c r="AS32" i="1"/>
  <c r="AS24" i="1"/>
  <c r="AT40" i="1"/>
  <c r="AT32" i="1"/>
  <c r="AT24" i="1"/>
  <c r="AU40" i="1"/>
  <c r="AU32" i="1"/>
  <c r="AW45" i="1"/>
  <c r="AW37" i="1"/>
  <c r="AW29" i="1"/>
  <c r="AX42" i="1"/>
  <c r="AX34" i="1"/>
  <c r="AY46" i="1"/>
  <c r="AY38" i="1"/>
  <c r="AY30" i="1"/>
  <c r="BB44" i="1"/>
  <c r="BB36" i="1"/>
  <c r="BC44" i="1"/>
  <c r="BC36" i="1"/>
  <c r="BE49" i="1"/>
  <c r="BE41" i="1"/>
  <c r="BF54" i="1"/>
  <c r="BF46" i="1"/>
  <c r="BF38" i="1"/>
  <c r="BG50" i="1"/>
  <c r="BG42" i="1"/>
  <c r="BJ56" i="1"/>
  <c r="BJ48" i="1"/>
  <c r="BJ40" i="1"/>
  <c r="BK56" i="1"/>
  <c r="BK48" i="1"/>
  <c r="BM61" i="1"/>
  <c r="BM53" i="1"/>
  <c r="BM45" i="1"/>
  <c r="BN58" i="1"/>
  <c r="BN50" i="1"/>
  <c r="BO62" i="1"/>
  <c r="BO54" i="1"/>
  <c r="BO46" i="1"/>
  <c r="BP57" i="1"/>
  <c r="BP49" i="1"/>
  <c r="BS60" i="1"/>
  <c r="BS52" i="1"/>
  <c r="BT59" i="1"/>
  <c r="BT51" i="1"/>
  <c r="BV62" i="1"/>
  <c r="BV54" i="1"/>
  <c r="BW58" i="1"/>
  <c r="AS23" i="1"/>
  <c r="AS47" i="1"/>
  <c r="AS39" i="1"/>
  <c r="AS31" i="1"/>
  <c r="AT23" i="1"/>
  <c r="AT39" i="1"/>
  <c r="AU24" i="1"/>
  <c r="AU39" i="1"/>
  <c r="AW44" i="1"/>
  <c r="AW36" i="1"/>
  <c r="AX41" i="1"/>
  <c r="AY45" i="1"/>
  <c r="AY37" i="1"/>
  <c r="BB43" i="1"/>
  <c r="BC51" i="1"/>
  <c r="BC43" i="1"/>
  <c r="BE48" i="1"/>
  <c r="BF53" i="1"/>
  <c r="BF45" i="1"/>
  <c r="BG49" i="1"/>
  <c r="BJ39" i="1"/>
  <c r="BJ55" i="1"/>
  <c r="BK40" i="1"/>
  <c r="BK55" i="1"/>
  <c r="BM60" i="1"/>
  <c r="BM52" i="1"/>
  <c r="BM44" i="1"/>
  <c r="BN57" i="1"/>
  <c r="BO61" i="1"/>
  <c r="BO53" i="1"/>
  <c r="BP56" i="1"/>
  <c r="BS59" i="1"/>
  <c r="BT58" i="1"/>
  <c r="BV61" i="1"/>
  <c r="BX23" i="1"/>
  <c r="AL50" i="1"/>
  <c r="P29" i="1"/>
  <c r="D25" i="1"/>
  <c r="BX24" i="1"/>
  <c r="T34" i="1"/>
  <c r="W36" i="1"/>
  <c r="T33" i="1"/>
  <c r="AB42" i="1"/>
  <c r="O28" i="1"/>
  <c r="U34" i="1"/>
  <c r="AF45" i="1"/>
  <c r="N27" i="1"/>
  <c r="AK50" i="1"/>
  <c r="N26" i="1"/>
  <c r="AB41" i="1"/>
  <c r="AB40" i="1"/>
  <c r="L26" i="1"/>
  <c r="AA39" i="1"/>
  <c r="AC41" i="1"/>
  <c r="AM52" i="1"/>
  <c r="Z39" i="1"/>
  <c r="Z38" i="1"/>
  <c r="R32" i="1"/>
  <c r="AK51" i="1"/>
  <c r="X36" i="1"/>
  <c r="AG45" i="1"/>
  <c r="P30" i="1"/>
  <c r="AD43" i="1"/>
  <c r="L25" i="1"/>
  <c r="S31" i="1"/>
  <c r="S32" i="1"/>
  <c r="AH47" i="1"/>
  <c r="AH46" i="1"/>
  <c r="AH48" i="1"/>
  <c r="Y38" i="1"/>
  <c r="K23" i="1"/>
  <c r="AO23" i="1" s="1"/>
  <c r="K24" i="1"/>
  <c r="V35" i="1"/>
  <c r="AG46" i="1"/>
  <c r="X37" i="1"/>
  <c r="P28" i="1"/>
  <c r="L24" i="1"/>
  <c r="Q29" i="1"/>
  <c r="Y37" i="1"/>
  <c r="AN53" i="1"/>
  <c r="AN54" i="1"/>
  <c r="AN52" i="1"/>
  <c r="AF44" i="1"/>
  <c r="W35" i="1"/>
  <c r="O29" i="1"/>
  <c r="O27" i="1"/>
  <c r="AM51" i="1"/>
  <c r="AD42" i="1"/>
  <c r="AE44" i="1"/>
  <c r="AE43" i="1"/>
  <c r="Q31" i="1"/>
  <c r="AA40" i="1"/>
  <c r="AJ48" i="1"/>
  <c r="AJ49" i="1"/>
  <c r="Q30" i="1"/>
  <c r="V34" i="1"/>
  <c r="AF46" i="1"/>
  <c r="R30" i="1"/>
  <c r="R31" i="1"/>
  <c r="U33" i="1"/>
  <c r="AC43" i="1"/>
  <c r="AI48" i="1"/>
  <c r="AK49" i="1"/>
  <c r="M26" i="1"/>
  <c r="T32" i="1"/>
  <c r="AC42" i="1"/>
  <c r="AI47" i="1"/>
  <c r="AL52" i="1"/>
  <c r="AL51" i="1"/>
  <c r="D26" i="1" l="1"/>
  <c r="BX25" i="1"/>
  <c r="M27" i="1"/>
  <c r="AJ50" i="1"/>
  <c r="K25" i="1"/>
  <c r="AG47" i="1"/>
  <c r="AI49" i="1"/>
  <c r="Z40" i="1"/>
  <c r="AM53" i="1"/>
  <c r="Y39" i="1"/>
  <c r="AE45" i="1"/>
  <c r="W37" i="1"/>
  <c r="S33" i="1"/>
  <c r="AA41" i="1"/>
  <c r="V36" i="1"/>
  <c r="N28" i="1"/>
  <c r="U35" i="1"/>
  <c r="AD44" i="1"/>
  <c r="X38" i="1"/>
  <c r="AO24" i="1"/>
  <c r="AO25" i="1"/>
  <c r="D27" i="1" l="1"/>
  <c r="BX26" i="1"/>
  <c r="AN55" i="1"/>
  <c r="AL53" i="1"/>
  <c r="AD45" i="1"/>
  <c r="AJ51" i="1"/>
  <c r="Y40" i="1"/>
  <c r="O30" i="1"/>
  <c r="Q32" i="1"/>
  <c r="W38" i="1"/>
  <c r="AG48" i="1"/>
  <c r="X39" i="1"/>
  <c r="AH49" i="1"/>
  <c r="T35" i="1"/>
  <c r="N29" i="1"/>
  <c r="AF47" i="1"/>
  <c r="L27" i="1"/>
  <c r="M28" i="1"/>
  <c r="Z41" i="1"/>
  <c r="AK52" i="1"/>
  <c r="AM54" i="1"/>
  <c r="U36" i="1"/>
  <c r="AA42" i="1"/>
  <c r="P31" i="1"/>
  <c r="V37" i="1"/>
  <c r="AB43" i="1"/>
  <c r="AI50" i="1"/>
  <c r="AE46" i="1"/>
  <c r="S34" i="1"/>
  <c r="R33" i="1"/>
  <c r="K26" i="1"/>
  <c r="AO26" i="1" s="1"/>
  <c r="AC44" i="1"/>
  <c r="D28" i="1" l="1"/>
  <c r="BX27" i="1"/>
  <c r="T36" i="1"/>
  <c r="AJ52" i="1"/>
  <c r="O31" i="1"/>
  <c r="AB44" i="1"/>
  <c r="M29" i="1"/>
  <c r="P32" i="1"/>
  <c r="V38" i="1"/>
  <c r="AH50" i="1"/>
  <c r="AM55" i="1"/>
  <c r="AD46" i="1"/>
  <c r="N30" i="1"/>
  <c r="L28" i="1"/>
  <c r="X40" i="1"/>
  <c r="R34" i="1"/>
  <c r="AC45" i="1"/>
  <c r="W39" i="1"/>
  <c r="AE47" i="1"/>
  <c r="K27" i="1"/>
  <c r="AO27" i="1" s="1"/>
  <c r="AG49" i="1"/>
  <c r="AL54" i="1"/>
  <c r="AF48" i="1"/>
  <c r="AI51" i="1"/>
  <c r="U37" i="1"/>
  <c r="AK53" i="1"/>
  <c r="Y41" i="1"/>
  <c r="Q33" i="1"/>
  <c r="AN56" i="1"/>
  <c r="Z42" i="1"/>
  <c r="S35" i="1"/>
  <c r="AA43" i="1"/>
  <c r="D29" i="1" l="1"/>
  <c r="BX28" i="1"/>
  <c r="AF49" i="1"/>
  <c r="AB45" i="1"/>
  <c r="R35" i="1"/>
  <c r="X41" i="1"/>
  <c r="AA44" i="1"/>
  <c r="O32" i="1"/>
  <c r="AL55" i="1"/>
  <c r="AG50" i="1"/>
  <c r="Y42" i="1"/>
  <c r="S36" i="1"/>
  <c r="AD47" i="1"/>
  <c r="AJ53" i="1"/>
  <c r="V39" i="1"/>
  <c r="L29" i="1"/>
  <c r="AE48" i="1"/>
  <c r="AH51" i="1"/>
  <c r="AI52" i="1"/>
  <c r="AC46" i="1"/>
  <c r="K28" i="1"/>
  <c r="AO28" i="1" s="1"/>
  <c r="Z43" i="1"/>
  <c r="U38" i="1"/>
  <c r="T37" i="1"/>
  <c r="N31" i="1"/>
  <c r="AM56" i="1"/>
  <c r="AN57" i="1"/>
  <c r="AK54" i="1"/>
  <c r="M30" i="1"/>
  <c r="W40" i="1"/>
  <c r="P33" i="1"/>
  <c r="Q34" i="1"/>
  <c r="D30" i="1" l="1"/>
  <c r="BX29" i="1"/>
  <c r="AN58" i="1"/>
  <c r="V40" i="1"/>
  <c r="R36" i="1"/>
  <c r="W41" i="1"/>
  <c r="M31" i="1"/>
  <c r="T38" i="1"/>
  <c r="AF50" i="1"/>
  <c r="X42" i="1"/>
  <c r="AI53" i="1"/>
  <c r="S37" i="1"/>
  <c r="AH52" i="1"/>
  <c r="Q35" i="1"/>
  <c r="AM57" i="1"/>
  <c r="AD48" i="1"/>
  <c r="U39" i="1"/>
  <c r="AL56" i="1"/>
  <c r="Y43" i="1"/>
  <c r="AC47" i="1"/>
  <c r="AG51" i="1"/>
  <c r="K29" i="1"/>
  <c r="AO29" i="1" s="1"/>
  <c r="P34" i="1"/>
  <c r="O33" i="1"/>
  <c r="N32" i="1"/>
  <c r="AJ54" i="1"/>
  <c r="AB46" i="1"/>
  <c r="Z44" i="1"/>
  <c r="L30" i="1"/>
  <c r="AA45" i="1"/>
  <c r="AE49" i="1"/>
  <c r="AK55" i="1"/>
  <c r="D31" i="1" l="1"/>
  <c r="BX30" i="1"/>
  <c r="K30" i="1"/>
  <c r="AO30" i="1" s="1"/>
  <c r="Z45" i="1"/>
  <c r="AB47" i="1"/>
  <c r="U40" i="1"/>
  <c r="AG52" i="1"/>
  <c r="AE50" i="1"/>
  <c r="AJ55" i="1"/>
  <c r="P35" i="1"/>
  <c r="Q36" i="1"/>
  <c r="AD49" i="1"/>
  <c r="AK56" i="1"/>
  <c r="AC48" i="1"/>
  <c r="AF51" i="1"/>
  <c r="Y44" i="1"/>
  <c r="X43" i="1"/>
  <c r="V41" i="1"/>
  <c r="T39" i="1"/>
  <c r="AA46" i="1"/>
  <c r="O34" i="1"/>
  <c r="AL57" i="1"/>
  <c r="M32" i="1"/>
  <c r="N33" i="1"/>
  <c r="AH53" i="1"/>
  <c r="AI54" i="1"/>
  <c r="AN59" i="1"/>
  <c r="AM58" i="1"/>
  <c r="R37" i="1"/>
  <c r="S38" i="1"/>
  <c r="L31" i="1"/>
  <c r="W42" i="1"/>
  <c r="D32" i="1" l="1"/>
  <c r="BX31" i="1"/>
  <c r="AC49" i="1"/>
  <c r="AH54" i="1"/>
  <c r="V42" i="1"/>
  <c r="L32" i="1"/>
  <c r="R38" i="1"/>
  <c r="AB48" i="1"/>
  <c r="AA47" i="1"/>
  <c r="N34" i="1"/>
  <c r="AF52" i="1"/>
  <c r="P36" i="1"/>
  <c r="T40" i="1"/>
  <c r="U41" i="1"/>
  <c r="Y45" i="1"/>
  <c r="AG53" i="1"/>
  <c r="AJ56" i="1"/>
  <c r="X44" i="1"/>
  <c r="M33" i="1"/>
  <c r="AN60" i="1"/>
  <c r="Z46" i="1"/>
  <c r="Q37" i="1"/>
  <c r="AD50" i="1"/>
  <c r="K31" i="1"/>
  <c r="AO31" i="1" s="1"/>
  <c r="AI55" i="1"/>
  <c r="W43" i="1"/>
  <c r="O35" i="1"/>
  <c r="S39" i="1"/>
  <c r="AM59" i="1"/>
  <c r="AL58" i="1"/>
  <c r="AK57" i="1"/>
  <c r="AE51" i="1"/>
  <c r="D33" i="1" l="1"/>
  <c r="Y46" i="1"/>
  <c r="W44" i="1"/>
  <c r="V43" i="1"/>
  <c r="AM60" i="1"/>
  <c r="O36" i="1"/>
  <c r="N35" i="1"/>
  <c r="S40" i="1"/>
  <c r="X45" i="1"/>
  <c r="T41" i="1"/>
  <c r="U42" i="1"/>
  <c r="AJ57" i="1"/>
  <c r="AI56" i="1"/>
  <c r="AK58" i="1"/>
  <c r="AF53" i="1"/>
  <c r="AE52" i="1"/>
  <c r="AD51" i="1"/>
  <c r="L33" i="1"/>
  <c r="M34" i="1"/>
  <c r="AB49" i="1"/>
  <c r="Z47" i="1"/>
  <c r="AA48" i="1"/>
  <c r="P37" i="1"/>
  <c r="R39" i="1"/>
  <c r="AG54" i="1"/>
  <c r="AH55" i="1"/>
  <c r="Q38" i="1"/>
  <c r="AL59" i="1"/>
  <c r="AC50" i="1"/>
  <c r="K32" i="1"/>
  <c r="AO32" i="1" s="1"/>
  <c r="AN61" i="1"/>
  <c r="BX32" i="1"/>
  <c r="D34" i="1" l="1"/>
  <c r="BX33" i="1"/>
  <c r="AM61" i="1"/>
  <c r="AK59" i="1"/>
  <c r="AG55" i="1"/>
  <c r="AN62" i="1"/>
  <c r="O37" i="1"/>
  <c r="P38" i="1"/>
  <c r="AJ58" i="1"/>
  <c r="K33" i="1"/>
  <c r="AO33" i="1" s="1"/>
  <c r="N36" i="1"/>
  <c r="AB50" i="1"/>
  <c r="R40" i="1"/>
  <c r="Q39" i="1"/>
  <c r="W45" i="1"/>
  <c r="AE53" i="1"/>
  <c r="AF54" i="1"/>
  <c r="L34" i="1"/>
  <c r="AI57" i="1"/>
  <c r="Z48" i="1"/>
  <c r="M35" i="1"/>
  <c r="AH56" i="1"/>
  <c r="T42" i="1"/>
  <c r="AA49" i="1"/>
  <c r="V44" i="1"/>
  <c r="S41" i="1"/>
  <c r="AL60" i="1"/>
  <c r="U43" i="1"/>
  <c r="Y47" i="1"/>
  <c r="AD52" i="1"/>
  <c r="X46" i="1"/>
  <c r="AC51" i="1"/>
  <c r="D35" i="1" l="1"/>
  <c r="BX34" i="1"/>
  <c r="N37" i="1"/>
  <c r="L35" i="1"/>
  <c r="P39" i="1"/>
  <c r="AL61" i="1"/>
  <c r="Q40" i="1"/>
  <c r="K34" i="1"/>
  <c r="AO34" i="1" s="1"/>
  <c r="AJ59" i="1"/>
  <c r="Z49" i="1"/>
  <c r="AM62" i="1"/>
  <c r="AH57" i="1"/>
  <c r="T43" i="1"/>
  <c r="AF55" i="1"/>
  <c r="AD53" i="1"/>
  <c r="X47" i="1"/>
  <c r="AG56" i="1"/>
  <c r="W46" i="1"/>
  <c r="M36" i="1"/>
  <c r="Y48" i="1"/>
  <c r="AB51" i="1"/>
  <c r="S42" i="1"/>
  <c r="V45" i="1"/>
  <c r="AC52" i="1"/>
  <c r="AI58" i="1"/>
  <c r="AK60" i="1"/>
  <c r="AA50" i="1"/>
  <c r="U44" i="1"/>
  <c r="R41" i="1"/>
  <c r="AE54" i="1"/>
  <c r="O38" i="1"/>
  <c r="D36" i="1" l="1"/>
  <c r="BX35" i="1"/>
  <c r="AA51" i="1"/>
  <c r="AK61" i="1"/>
  <c r="AG57" i="1"/>
  <c r="AC53" i="1"/>
  <c r="AJ60" i="1"/>
  <c r="P40" i="1"/>
  <c r="AD54" i="1"/>
  <c r="Q41" i="1"/>
  <c r="AL62" i="1"/>
  <c r="R42" i="1"/>
  <c r="AE55" i="1"/>
  <c r="K35" i="1"/>
  <c r="AO35" i="1" s="1"/>
  <c r="AI59" i="1"/>
  <c r="O39" i="1"/>
  <c r="AB52" i="1"/>
  <c r="W47" i="1"/>
  <c r="Z50" i="1"/>
  <c r="N38" i="1"/>
  <c r="L36" i="1"/>
  <c r="U45" i="1"/>
  <c r="AH58" i="1"/>
  <c r="Y49" i="1"/>
  <c r="S43" i="1"/>
  <c r="T44" i="1"/>
  <c r="M37" i="1"/>
  <c r="AF56" i="1"/>
  <c r="X48" i="1"/>
  <c r="V46" i="1"/>
  <c r="D37" i="1" l="1"/>
  <c r="BX36" i="1"/>
  <c r="N39" i="1"/>
  <c r="M38" i="1"/>
  <c r="AI60" i="1"/>
  <c r="Q42" i="1"/>
  <c r="AD55" i="1"/>
  <c r="AE56" i="1"/>
  <c r="L37" i="1"/>
  <c r="X49" i="1"/>
  <c r="AF57" i="1"/>
  <c r="AH59" i="1"/>
  <c r="AA52" i="1"/>
  <c r="P41" i="1"/>
  <c r="U46" i="1"/>
  <c r="Z51" i="1"/>
  <c r="K36" i="1"/>
  <c r="AO36" i="1" s="1"/>
  <c r="S44" i="1"/>
  <c r="R43" i="1"/>
  <c r="AG58" i="1"/>
  <c r="Y50" i="1"/>
  <c r="AB53" i="1"/>
  <c r="W48" i="1"/>
  <c r="T45" i="1"/>
  <c r="O40" i="1"/>
  <c r="AC54" i="1"/>
  <c r="AJ61" i="1"/>
  <c r="V47" i="1"/>
  <c r="AK62" i="1"/>
  <c r="D38" i="1" l="1"/>
  <c r="BX37" i="1"/>
  <c r="O41" i="1"/>
  <c r="L38" i="1"/>
  <c r="X50" i="1"/>
  <c r="M39" i="1"/>
  <c r="W49" i="1"/>
  <c r="AB54" i="1"/>
  <c r="Q43" i="1"/>
  <c r="Y51" i="1"/>
  <c r="P42" i="1"/>
  <c r="T46" i="1"/>
  <c r="AH60" i="1"/>
  <c r="Z52" i="1"/>
  <c r="K37" i="1"/>
  <c r="AO37" i="1" s="1"/>
  <c r="AA53" i="1"/>
  <c r="AE57" i="1"/>
  <c r="AI61" i="1"/>
  <c r="V48" i="1"/>
  <c r="AC55" i="1"/>
  <c r="S45" i="1"/>
  <c r="AD56" i="1"/>
  <c r="AF58" i="1"/>
  <c r="R44" i="1"/>
  <c r="U47" i="1"/>
  <c r="AJ62" i="1"/>
  <c r="N40" i="1"/>
  <c r="AG59" i="1"/>
  <c r="D39" i="1" l="1"/>
  <c r="BX38" i="1"/>
  <c r="AA54" i="1"/>
  <c r="AI62" i="1"/>
  <c r="V49" i="1"/>
  <c r="X51" i="1"/>
  <c r="Y52" i="1"/>
  <c r="AG60" i="1"/>
  <c r="Q44" i="1"/>
  <c r="P43" i="1"/>
  <c r="AD57" i="1"/>
  <c r="U48" i="1"/>
  <c r="N41" i="1"/>
  <c r="L39" i="1"/>
  <c r="W50" i="1"/>
  <c r="S46" i="1"/>
  <c r="AB55" i="1"/>
  <c r="K38" i="1"/>
  <c r="AO38" i="1" s="1"/>
  <c r="AE58" i="1"/>
  <c r="M40" i="1"/>
  <c r="Z53" i="1"/>
  <c r="O42" i="1"/>
  <c r="AH61" i="1"/>
  <c r="R45" i="1"/>
  <c r="AC56" i="1"/>
  <c r="AF59" i="1"/>
  <c r="T47" i="1"/>
  <c r="D40" i="1" l="1"/>
  <c r="BX39" i="1"/>
  <c r="AE59" i="1"/>
  <c r="W51" i="1"/>
  <c r="T48" i="1"/>
  <c r="AH62" i="1"/>
  <c r="V50" i="1"/>
  <c r="K39" i="1"/>
  <c r="AO39" i="1" s="1"/>
  <c r="L40" i="1"/>
  <c r="AB56" i="1"/>
  <c r="AC57" i="1"/>
  <c r="M41" i="1"/>
  <c r="Q45" i="1"/>
  <c r="AA55" i="1"/>
  <c r="N42" i="1"/>
  <c r="X52" i="1"/>
  <c r="P44" i="1"/>
  <c r="Y53" i="1"/>
  <c r="AF60" i="1"/>
  <c r="AG61" i="1"/>
  <c r="U49" i="1"/>
  <c r="Z54" i="1"/>
  <c r="O43" i="1"/>
  <c r="R46" i="1"/>
  <c r="S47" i="1"/>
  <c r="AD58" i="1"/>
  <c r="D41" i="1" l="1"/>
  <c r="BX40" i="1"/>
  <c r="N43" i="1"/>
  <c r="P45" i="1"/>
  <c r="AF61" i="1"/>
  <c r="K40" i="1"/>
  <c r="AO40" i="1" s="1"/>
  <c r="Y54" i="1"/>
  <c r="Q46" i="1"/>
  <c r="O44" i="1"/>
  <c r="W52" i="1"/>
  <c r="V51" i="1"/>
  <c r="U50" i="1"/>
  <c r="M42" i="1"/>
  <c r="S48" i="1"/>
  <c r="T49" i="1"/>
  <c r="AA56" i="1"/>
  <c r="AB57" i="1"/>
  <c r="L41" i="1"/>
  <c r="X53" i="1"/>
  <c r="Z55" i="1"/>
  <c r="AC58" i="1"/>
  <c r="R47" i="1"/>
  <c r="AG62" i="1"/>
  <c r="AD59" i="1"/>
  <c r="AE60" i="1"/>
  <c r="D42" i="1" l="1"/>
  <c r="BX41" i="1"/>
  <c r="L42" i="1"/>
  <c r="T50" i="1"/>
  <c r="U51" i="1"/>
  <c r="O45" i="1"/>
  <c r="AC59" i="1"/>
  <c r="R48" i="1"/>
  <c r="N44" i="1"/>
  <c r="Y55" i="1"/>
  <c r="K41" i="1"/>
  <c r="AO41" i="1" s="1"/>
  <c r="AD60" i="1"/>
  <c r="AA57" i="1"/>
  <c r="Q47" i="1"/>
  <c r="V52" i="1"/>
  <c r="M43" i="1"/>
  <c r="AB58" i="1"/>
  <c r="AF62" i="1"/>
  <c r="X54" i="1"/>
  <c r="W53" i="1"/>
  <c r="AE61" i="1"/>
  <c r="P46" i="1"/>
  <c r="S49" i="1"/>
  <c r="Z56" i="1"/>
  <c r="D43" i="1" l="1"/>
  <c r="BX42" i="1"/>
  <c r="R49" i="1"/>
  <c r="X55" i="1"/>
  <c r="W54" i="1"/>
  <c r="AE62" i="1"/>
  <c r="AB59" i="1"/>
  <c r="L43" i="1"/>
  <c r="P47" i="1"/>
  <c r="K42" i="1"/>
  <c r="AO42" i="1" s="1"/>
  <c r="AA58" i="1"/>
  <c r="Y56" i="1"/>
  <c r="O46" i="1"/>
  <c r="AC60" i="1"/>
  <c r="T51" i="1"/>
  <c r="Q48" i="1"/>
  <c r="Z57" i="1"/>
  <c r="M44" i="1"/>
  <c r="N45" i="1"/>
  <c r="AD61" i="1"/>
  <c r="U52" i="1"/>
  <c r="V53" i="1"/>
  <c r="S50" i="1"/>
  <c r="D44" i="1" l="1"/>
  <c r="BX43" i="1"/>
  <c r="K43" i="1"/>
  <c r="AO43" i="1" s="1"/>
  <c r="T52" i="1"/>
  <c r="U53" i="1"/>
  <c r="M45" i="1"/>
  <c r="S51" i="1"/>
  <c r="N46" i="1"/>
  <c r="W55" i="1"/>
  <c r="Y57" i="1"/>
  <c r="X56" i="1"/>
  <c r="L44" i="1"/>
  <c r="P48" i="1"/>
  <c r="R50" i="1"/>
  <c r="Q49" i="1"/>
  <c r="V54" i="1"/>
  <c r="AB60" i="1"/>
  <c r="O47" i="1"/>
  <c r="AD62" i="1"/>
  <c r="AA59" i="1"/>
  <c r="AC61" i="1"/>
  <c r="Z58" i="1"/>
  <c r="D45" i="1" l="1"/>
  <c r="BX44" i="1"/>
  <c r="K44" i="1"/>
  <c r="AO44" i="1" s="1"/>
  <c r="V55" i="1"/>
  <c r="L45" i="1"/>
  <c r="AB61" i="1"/>
  <c r="Z59" i="1"/>
  <c r="R51" i="1"/>
  <c r="N47" i="1"/>
  <c r="W56" i="1"/>
  <c r="U54" i="1"/>
  <c r="T53" i="1"/>
  <c r="O48" i="1"/>
  <c r="M46" i="1"/>
  <c r="AA60" i="1"/>
  <c r="X57" i="1"/>
  <c r="P49" i="1"/>
  <c r="Q50" i="1"/>
  <c r="Y58" i="1"/>
  <c r="S52" i="1"/>
  <c r="AC62" i="1"/>
  <c r="D46" i="1" l="1"/>
  <c r="BX45" i="1"/>
  <c r="V56" i="1"/>
  <c r="L46" i="1"/>
  <c r="M47" i="1"/>
  <c r="O49" i="1"/>
  <c r="N48" i="1"/>
  <c r="W57" i="1"/>
  <c r="K45" i="1"/>
  <c r="AO45" i="1" s="1"/>
  <c r="R52" i="1"/>
  <c r="S53" i="1"/>
  <c r="Y59" i="1"/>
  <c r="P50" i="1"/>
  <c r="T54" i="1"/>
  <c r="Q51" i="1"/>
  <c r="U55" i="1"/>
  <c r="X58" i="1"/>
  <c r="AA61" i="1"/>
  <c r="Z60" i="1"/>
  <c r="AB62" i="1"/>
  <c r="H8" i="1"/>
  <c r="H3" i="1"/>
  <c r="J23" i="1" l="1"/>
  <c r="AR36" i="1"/>
  <c r="BY36" i="1" s="1"/>
  <c r="AR35" i="1"/>
  <c r="BY35" i="1" s="1"/>
  <c r="AR28" i="1"/>
  <c r="BY28" i="1" s="1"/>
  <c r="AR45" i="1"/>
  <c r="BY45" i="1" s="1"/>
  <c r="AR40" i="1"/>
  <c r="BY40" i="1" s="1"/>
  <c r="AR32" i="1"/>
  <c r="BY32" i="1" s="1"/>
  <c r="AR25" i="1"/>
  <c r="BY25" i="1" s="1"/>
  <c r="AR30" i="1"/>
  <c r="BY30" i="1" s="1"/>
  <c r="AR34" i="1"/>
  <c r="BY34" i="1" s="1"/>
  <c r="AR31" i="1"/>
  <c r="BY31" i="1" s="1"/>
  <c r="AR42" i="1"/>
  <c r="BY42" i="1" s="1"/>
  <c r="AR26" i="1"/>
  <c r="BY26" i="1" s="1"/>
  <c r="AR44" i="1"/>
  <c r="BY44" i="1" s="1"/>
  <c r="AR41" i="1"/>
  <c r="BY41" i="1" s="1"/>
  <c r="AR33" i="1"/>
  <c r="BY33" i="1" s="1"/>
  <c r="AR24" i="1"/>
  <c r="BY24" i="1" s="1"/>
  <c r="AR27" i="1"/>
  <c r="BY27" i="1" s="1"/>
  <c r="AR29" i="1"/>
  <c r="BY29" i="1" s="1"/>
  <c r="AR37" i="1"/>
  <c r="BY37" i="1" s="1"/>
  <c r="AR38" i="1"/>
  <c r="BY38" i="1" s="1"/>
  <c r="AR39" i="1"/>
  <c r="BY39" i="1" s="1"/>
  <c r="AR43" i="1"/>
  <c r="BY43" i="1" s="1"/>
  <c r="D47" i="1"/>
  <c r="BX46" i="1"/>
  <c r="AR46" i="1" s="1"/>
  <c r="BY46" i="1" s="1"/>
  <c r="O50" i="1"/>
  <c r="Y60" i="1"/>
  <c r="L47" i="1"/>
  <c r="R53" i="1"/>
  <c r="W58" i="1"/>
  <c r="N49" i="1"/>
  <c r="T55" i="1"/>
  <c r="P51" i="1"/>
  <c r="S54" i="1"/>
  <c r="M48" i="1"/>
  <c r="X59" i="1"/>
  <c r="Q52" i="1"/>
  <c r="V57" i="1"/>
  <c r="AA62" i="1"/>
  <c r="U56" i="1"/>
  <c r="Z61" i="1"/>
  <c r="K46" i="1"/>
  <c r="AO46" i="1" s="1"/>
  <c r="I23" i="1"/>
  <c r="AP23" i="1" s="1"/>
  <c r="J25" i="1"/>
  <c r="I25" i="1" s="1"/>
  <c r="AP25" i="1" s="1"/>
  <c r="D48" i="1" l="1"/>
  <c r="BX47" i="1"/>
  <c r="AR47" i="1" s="1"/>
  <c r="BY47" i="1" s="1"/>
  <c r="L48" i="1"/>
  <c r="V58" i="1"/>
  <c r="X60" i="1"/>
  <c r="Q53" i="1"/>
  <c r="K47" i="1"/>
  <c r="AO47" i="1" s="1"/>
  <c r="Z62" i="1"/>
  <c r="R54" i="1"/>
  <c r="O51" i="1"/>
  <c r="S55" i="1"/>
  <c r="N50" i="1"/>
  <c r="T56" i="1"/>
  <c r="M49" i="1"/>
  <c r="P52" i="1"/>
  <c r="W59" i="1"/>
  <c r="Y61" i="1"/>
  <c r="U57" i="1"/>
  <c r="J34" i="1"/>
  <c r="I34" i="1" s="1"/>
  <c r="AP34" i="1" s="1"/>
  <c r="J42" i="1"/>
  <c r="I42" i="1" s="1"/>
  <c r="AP42" i="1" s="1"/>
  <c r="J50" i="1"/>
  <c r="J58" i="1"/>
  <c r="J27" i="1"/>
  <c r="I27" i="1" s="1"/>
  <c r="AP27" i="1" s="1"/>
  <c r="J35" i="1"/>
  <c r="I35" i="1" s="1"/>
  <c r="AP35" i="1" s="1"/>
  <c r="J43" i="1"/>
  <c r="I43" i="1" s="1"/>
  <c r="AP43" i="1" s="1"/>
  <c r="J51" i="1"/>
  <c r="J59" i="1"/>
  <c r="J28" i="1"/>
  <c r="I28" i="1" s="1"/>
  <c r="AP28" i="1" s="1"/>
  <c r="J36" i="1"/>
  <c r="I36" i="1" s="1"/>
  <c r="AP36" i="1" s="1"/>
  <c r="J44" i="1"/>
  <c r="I44" i="1" s="1"/>
  <c r="AP44" i="1" s="1"/>
  <c r="J52" i="1"/>
  <c r="J60" i="1"/>
  <c r="J29" i="1"/>
  <c r="I29" i="1" s="1"/>
  <c r="AP29" i="1" s="1"/>
  <c r="J37" i="1"/>
  <c r="I37" i="1" s="1"/>
  <c r="AP37" i="1" s="1"/>
  <c r="J45" i="1"/>
  <c r="I45" i="1" s="1"/>
  <c r="AP45" i="1" s="1"/>
  <c r="J53" i="1"/>
  <c r="J61" i="1"/>
  <c r="J30" i="1"/>
  <c r="I30" i="1" s="1"/>
  <c r="AP30" i="1" s="1"/>
  <c r="J38" i="1"/>
  <c r="I38" i="1" s="1"/>
  <c r="AP38" i="1" s="1"/>
  <c r="J46" i="1"/>
  <c r="I46" i="1" s="1"/>
  <c r="AP46" i="1" s="1"/>
  <c r="J54" i="1"/>
  <c r="J62" i="1"/>
  <c r="J31" i="1"/>
  <c r="I31" i="1" s="1"/>
  <c r="AP31" i="1" s="1"/>
  <c r="J39" i="1"/>
  <c r="I39" i="1" s="1"/>
  <c r="AP39" i="1" s="1"/>
  <c r="J47" i="1"/>
  <c r="J55" i="1"/>
  <c r="J32" i="1"/>
  <c r="I32" i="1" s="1"/>
  <c r="AP32" i="1" s="1"/>
  <c r="J40" i="1"/>
  <c r="I40" i="1" s="1"/>
  <c r="AP40" i="1" s="1"/>
  <c r="J48" i="1"/>
  <c r="J56" i="1"/>
  <c r="J33" i="1"/>
  <c r="I33" i="1" s="1"/>
  <c r="AP33" i="1" s="1"/>
  <c r="J41" i="1"/>
  <c r="I41" i="1" s="1"/>
  <c r="AP41" i="1" s="1"/>
  <c r="J49" i="1"/>
  <c r="J57" i="1"/>
  <c r="J26" i="1"/>
  <c r="I26" i="1" s="1"/>
  <c r="AP26" i="1" s="1"/>
  <c r="J24" i="1"/>
  <c r="I24" i="1" s="1"/>
  <c r="AP24" i="1" s="1"/>
  <c r="I47" i="1" l="1"/>
  <c r="AP47" i="1" s="1"/>
  <c r="D49" i="1"/>
  <c r="Q54" i="1"/>
  <c r="W60" i="1"/>
  <c r="R55" i="1"/>
  <c r="N51" i="1"/>
  <c r="Y62" i="1"/>
  <c r="M50" i="1"/>
  <c r="K48" i="1"/>
  <c r="AO48" i="1" s="1"/>
  <c r="I48" i="1" s="1"/>
  <c r="X61" i="1"/>
  <c r="U58" i="1"/>
  <c r="T57" i="1"/>
  <c r="L49" i="1"/>
  <c r="S56" i="1"/>
  <c r="O52" i="1"/>
  <c r="P53" i="1"/>
  <c r="V59" i="1"/>
  <c r="BX48" i="1"/>
  <c r="AR48" i="1" s="1"/>
  <c r="BY48" i="1" s="1"/>
  <c r="AP48" i="1" l="1"/>
  <c r="D50" i="1"/>
  <c r="BX49" i="1"/>
  <c r="AR49" i="1" s="1"/>
  <c r="BY49" i="1" s="1"/>
  <c r="P54" i="1"/>
  <c r="M51" i="1"/>
  <c r="X62" i="1"/>
  <c r="U59" i="1"/>
  <c r="K49" i="1"/>
  <c r="AO49" i="1" s="1"/>
  <c r="I49" i="1" s="1"/>
  <c r="AP49" i="1" s="1"/>
  <c r="Q55" i="1"/>
  <c r="N52" i="1"/>
  <c r="V60" i="1"/>
  <c r="O53" i="1"/>
  <c r="S57" i="1"/>
  <c r="L50" i="1"/>
  <c r="W61" i="1"/>
  <c r="R56" i="1"/>
  <c r="T58" i="1"/>
  <c r="D51" i="1" l="1"/>
  <c r="BX50" i="1"/>
  <c r="AR50" i="1" s="1"/>
  <c r="BY50" i="1" s="1"/>
  <c r="Q56" i="1"/>
  <c r="V61" i="1"/>
  <c r="M52" i="1"/>
  <c r="N53" i="1"/>
  <c r="R57" i="1"/>
  <c r="O54" i="1"/>
  <c r="T59" i="1"/>
  <c r="K50" i="1"/>
  <c r="AO50" i="1" s="1"/>
  <c r="I50" i="1" s="1"/>
  <c r="AP50" i="1" s="1"/>
  <c r="L51" i="1"/>
  <c r="U60" i="1"/>
  <c r="W62" i="1"/>
  <c r="S58" i="1"/>
  <c r="P55" i="1"/>
  <c r="D52" i="1" l="1"/>
  <c r="BX51" i="1"/>
  <c r="AR51" i="1" s="1"/>
  <c r="BY51" i="1" s="1"/>
  <c r="M53" i="1"/>
  <c r="Q57" i="1"/>
  <c r="N54" i="1"/>
  <c r="V62" i="1"/>
  <c r="S59" i="1"/>
  <c r="K51" i="1"/>
  <c r="AO51" i="1" s="1"/>
  <c r="I51" i="1" s="1"/>
  <c r="AP51" i="1" s="1"/>
  <c r="L52" i="1"/>
  <c r="P56" i="1"/>
  <c r="O55" i="1"/>
  <c r="T60" i="1"/>
  <c r="R58" i="1"/>
  <c r="U61" i="1"/>
  <c r="D53" i="1" l="1"/>
  <c r="BX52" i="1"/>
  <c r="AR52" i="1" s="1"/>
  <c r="BY52" i="1" s="1"/>
  <c r="K52" i="1"/>
  <c r="AO52" i="1" s="1"/>
  <c r="I52" i="1" s="1"/>
  <c r="AP52" i="1" s="1"/>
  <c r="Q58" i="1"/>
  <c r="U62" i="1"/>
  <c r="R59" i="1"/>
  <c r="L53" i="1"/>
  <c r="T61" i="1"/>
  <c r="M54" i="1"/>
  <c r="P57" i="1"/>
  <c r="N55" i="1"/>
  <c r="O56" i="1"/>
  <c r="S60" i="1"/>
  <c r="D54" i="1" l="1"/>
  <c r="BX53" i="1"/>
  <c r="AR53" i="1" s="1"/>
  <c r="BY53" i="1" s="1"/>
  <c r="O57" i="1"/>
  <c r="M55" i="1"/>
  <c r="N56" i="1"/>
  <c r="K53" i="1"/>
  <c r="AO53" i="1" s="1"/>
  <c r="I53" i="1" s="1"/>
  <c r="R60" i="1"/>
  <c r="S61" i="1"/>
  <c r="L54" i="1"/>
  <c r="Q59" i="1"/>
  <c r="T62" i="1"/>
  <c r="P58" i="1"/>
  <c r="AP53" i="1" l="1"/>
  <c r="D55" i="1"/>
  <c r="BX54" i="1"/>
  <c r="AR54" i="1" s="1"/>
  <c r="BY54" i="1" s="1"/>
  <c r="L55" i="1"/>
  <c r="Q60" i="1"/>
  <c r="R61" i="1"/>
  <c r="O58" i="1"/>
  <c r="S62" i="1"/>
  <c r="K54" i="1"/>
  <c r="AO54" i="1" s="1"/>
  <c r="I54" i="1" s="1"/>
  <c r="AP54" i="1" s="1"/>
  <c r="M56" i="1"/>
  <c r="P59" i="1"/>
  <c r="N57" i="1"/>
  <c r="D56" i="1" l="1"/>
  <c r="BX55" i="1"/>
  <c r="AR55" i="1" s="1"/>
  <c r="BY55" i="1" s="1"/>
  <c r="P60" i="1"/>
  <c r="K55" i="1"/>
  <c r="AO55" i="1" s="1"/>
  <c r="I55" i="1" s="1"/>
  <c r="AP55" i="1" s="1"/>
  <c r="M57" i="1"/>
  <c r="O59" i="1"/>
  <c r="N58" i="1"/>
  <c r="L56" i="1"/>
  <c r="Q61" i="1"/>
  <c r="R62" i="1"/>
  <c r="D57" i="1" l="1"/>
  <c r="BX56" i="1"/>
  <c r="AR56" i="1" s="1"/>
  <c r="BY56" i="1" s="1"/>
  <c r="L57" i="1"/>
  <c r="K56" i="1"/>
  <c r="AO56" i="1" s="1"/>
  <c r="I56" i="1" s="1"/>
  <c r="AP56" i="1" s="1"/>
  <c r="N59" i="1"/>
  <c r="O60" i="1"/>
  <c r="P61" i="1"/>
  <c r="Q62" i="1"/>
  <c r="M58" i="1"/>
  <c r="D58" i="1" l="1"/>
  <c r="BX57" i="1"/>
  <c r="AR57" i="1" s="1"/>
  <c r="BY57" i="1" s="1"/>
  <c r="N60" i="1"/>
  <c r="M59" i="1"/>
  <c r="K57" i="1"/>
  <c r="AO57" i="1" s="1"/>
  <c r="I57" i="1" s="1"/>
  <c r="AP57" i="1" s="1"/>
  <c r="O61" i="1"/>
  <c r="L58" i="1"/>
  <c r="P62" i="1"/>
  <c r="D59" i="1" l="1"/>
  <c r="BX58" i="1"/>
  <c r="AR58" i="1" s="1"/>
  <c r="BY58" i="1" s="1"/>
  <c r="N61" i="1"/>
  <c r="K58" i="1"/>
  <c r="AO58" i="1" s="1"/>
  <c r="I58" i="1" s="1"/>
  <c r="AP58" i="1" s="1"/>
  <c r="L59" i="1"/>
  <c r="O62" i="1"/>
  <c r="M60" i="1"/>
  <c r="D60" i="1" l="1"/>
  <c r="BX59" i="1"/>
  <c r="AR59" i="1" s="1"/>
  <c r="BY59" i="1" s="1"/>
  <c r="M61" i="1"/>
  <c r="N62" i="1"/>
  <c r="L60" i="1"/>
  <c r="K59" i="1"/>
  <c r="AO59" i="1" s="1"/>
  <c r="I59" i="1" s="1"/>
  <c r="AP59" i="1" s="1"/>
  <c r="D61" i="1" l="1"/>
  <c r="BX60" i="1"/>
  <c r="AR60" i="1" s="1"/>
  <c r="BY60" i="1" s="1"/>
  <c r="L61" i="1"/>
  <c r="K60" i="1"/>
  <c r="AO60" i="1" s="1"/>
  <c r="I60" i="1" s="1"/>
  <c r="AP60" i="1" s="1"/>
  <c r="M62" i="1"/>
  <c r="D62" i="1" l="1"/>
  <c r="BX61" i="1"/>
  <c r="AR61" i="1" s="1"/>
  <c r="BY61" i="1" s="1"/>
  <c r="L62" i="1"/>
  <c r="K61" i="1"/>
  <c r="AO61" i="1" s="1"/>
  <c r="I61" i="1" s="1"/>
  <c r="AP61" i="1" s="1"/>
  <c r="K62" i="1" l="1"/>
  <c r="AO62" i="1" s="1"/>
  <c r="I62" i="1" s="1"/>
  <c r="BX62" i="1"/>
  <c r="AR62" i="1" s="1"/>
  <c r="BY62" i="1" s="1"/>
  <c r="AP62" i="1" l="1"/>
  <c r="AP63" i="1" s="1"/>
  <c r="J21" i="1" s="1"/>
  <c r="I63" i="1"/>
  <c r="AR23" i="1" l="1"/>
  <c r="BY23" i="1" l="1"/>
  <c r="BY63" i="1" s="1"/>
  <c r="AS21" i="1" s="1"/>
  <c r="AR63" i="1"/>
  <c r="CA23" i="1"/>
  <c r="CA63" i="1" l="1"/>
  <c r="DH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tc={F927B150-8B5F-4CE5-9C3B-D621A12496C1}</author>
    <author>tc={586234AA-0478-4E42-87B5-5684907F9E9D}</author>
    <author>tc={E238A8B4-A985-4537-B16E-BE0F9C1840DF}</author>
  </authors>
  <commentList>
    <comment ref="H4" authorId="0" shapeId="0" xr:uid="{F927B150-8B5F-4CE5-9C3B-D621A12496C1}">
      <text>
        <t>[Threaded comment]
Your version of Excel allows you to read this threaded comment; however, any edits to it will get removed if the file is opened in a newer version of Excel. Learn more: https://go.microsoft.com/fwlink/?linkid=870924
Comment:
    LAC soils (Ferralsols, Nitisols and Olinthosols) Tropical, moist Tools 16</t>
      </text>
    </comment>
    <comment ref="H5" authorId="1" shapeId="0" xr:uid="{586234AA-0478-4E42-87B5-5684907F9E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depends if activity will shift to forests or other more degraded areas
</t>
      </text>
    </comment>
    <comment ref="H7" authorId="2" shapeId="0" xr:uid="{E238A8B4-A985-4537-B16E-BE0F9C1840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Eq 27 - ARM tool 14 v4.2
=BDR*bforest*CC
</t>
      </text>
    </comment>
  </commentList>
</comments>
</file>

<file path=xl/sharedStrings.xml><?xml version="1.0" encoding="utf-8"?>
<sst xmlns="http://schemas.openxmlformats.org/spreadsheetml/2006/main" count="111" uniqueCount="51">
  <si>
    <t>carbon fraction</t>
  </si>
  <si>
    <r>
      <t xml:space="preserve">SOC </t>
    </r>
    <r>
      <rPr>
        <i/>
        <sz val="11"/>
        <color theme="1"/>
        <rFont val="Aptos Narrow"/>
        <family val="2"/>
        <scheme val="minor"/>
      </rPr>
      <t>ref</t>
    </r>
  </si>
  <si>
    <t>Year</t>
  </si>
  <si>
    <r>
      <t xml:space="preserve">b </t>
    </r>
    <r>
      <rPr>
        <i/>
        <sz val="11"/>
        <color theme="1"/>
        <rFont val="Aptos Narrow"/>
        <family val="2"/>
        <scheme val="minor"/>
      </rPr>
      <t>tree</t>
    </r>
  </si>
  <si>
    <r>
      <t xml:space="preserve">R </t>
    </r>
    <r>
      <rPr>
        <i/>
        <sz val="11"/>
        <color theme="1"/>
        <rFont val="Aptos Narrow"/>
        <family val="2"/>
        <scheme val="minor"/>
      </rPr>
      <t>tree</t>
    </r>
  </si>
  <si>
    <t>Mokany et al 2006</t>
  </si>
  <si>
    <r>
      <t xml:space="preserve">R </t>
    </r>
    <r>
      <rPr>
        <i/>
        <sz val="11"/>
        <color theme="1"/>
        <rFont val="Aptos Narrow"/>
        <family val="2"/>
        <scheme val="minor"/>
      </rPr>
      <t>shrub</t>
    </r>
  </si>
  <si>
    <r>
      <t xml:space="preserve">b </t>
    </r>
    <r>
      <rPr>
        <i/>
        <sz val="11"/>
        <color theme="1"/>
        <rFont val="Aptos Narrow"/>
        <family val="2"/>
        <scheme val="minor"/>
      </rPr>
      <t>shrub</t>
    </r>
  </si>
  <si>
    <t>CF</t>
  </si>
  <si>
    <r>
      <t xml:space="preserve">f </t>
    </r>
    <r>
      <rPr>
        <i/>
        <sz val="11"/>
        <color theme="1"/>
        <rFont val="Aptos Narrow"/>
        <family val="2"/>
        <scheme val="minor"/>
      </rPr>
      <t>lup</t>
    </r>
  </si>
  <si>
    <r>
      <t xml:space="preserve">f </t>
    </r>
    <r>
      <rPr>
        <i/>
        <sz val="11"/>
        <color theme="1"/>
        <rFont val="Aptos Narrow"/>
        <family val="2"/>
        <scheme val="minor"/>
      </rPr>
      <t>mgp</t>
    </r>
  </si>
  <si>
    <r>
      <t xml:space="preserve">f </t>
    </r>
    <r>
      <rPr>
        <i/>
        <sz val="11"/>
        <color theme="1"/>
        <rFont val="Aptos Narrow"/>
        <family val="2"/>
        <scheme val="minor"/>
      </rPr>
      <t>inp</t>
    </r>
  </si>
  <si>
    <r>
      <t xml:space="preserve">f </t>
    </r>
    <r>
      <rPr>
        <i/>
        <sz val="11"/>
        <color theme="1"/>
        <rFont val="Aptos Narrow"/>
        <family val="2"/>
        <scheme val="minor"/>
      </rPr>
      <t>lud</t>
    </r>
  </si>
  <si>
    <r>
      <t xml:space="preserve">f </t>
    </r>
    <r>
      <rPr>
        <i/>
        <sz val="11"/>
        <color theme="1"/>
        <rFont val="Aptos Narrow"/>
        <family val="2"/>
        <scheme val="minor"/>
      </rPr>
      <t>mgd</t>
    </r>
  </si>
  <si>
    <r>
      <t xml:space="preserve">f </t>
    </r>
    <r>
      <rPr>
        <i/>
        <sz val="11"/>
        <color theme="1"/>
        <rFont val="Aptos Narrow"/>
        <family val="2"/>
        <scheme val="minor"/>
      </rPr>
      <t>ind</t>
    </r>
  </si>
  <si>
    <t>t.biomass./ha</t>
  </si>
  <si>
    <t>tC/ha</t>
  </si>
  <si>
    <t>After the displaced activity</t>
  </si>
  <si>
    <t xml:space="preserve">Moderatly degraded grassland management </t>
  </si>
  <si>
    <t xml:space="preserve">low/med input </t>
  </si>
  <si>
    <t>grasslands</t>
  </si>
  <si>
    <t xml:space="preserve">full till </t>
  </si>
  <si>
    <t>land-use / displaced (long-term crops) baseline long-term cultivation</t>
  </si>
  <si>
    <t>Sensitivity 1</t>
  </si>
  <si>
    <r>
      <t xml:space="preserve">Area </t>
    </r>
    <r>
      <rPr>
        <b/>
        <i/>
        <sz val="11"/>
        <color theme="1"/>
        <rFont val="Aptos Narrow"/>
        <family val="2"/>
        <scheme val="minor"/>
      </rPr>
      <t>disp, t</t>
    </r>
  </si>
  <si>
    <r>
      <t xml:space="preserve">∆SOC </t>
    </r>
    <r>
      <rPr>
        <b/>
        <i/>
        <sz val="11"/>
        <color theme="1"/>
        <rFont val="Aptos Narrow"/>
        <family val="2"/>
      </rPr>
      <t>luc</t>
    </r>
    <r>
      <rPr>
        <b/>
        <sz val="11"/>
        <color theme="1"/>
        <rFont val="Aptos Narrow"/>
        <family val="2"/>
      </rPr>
      <t xml:space="preserve"> tC</t>
    </r>
  </si>
  <si>
    <t>Outgorwers Annual</t>
  </si>
  <si>
    <t>IPCC 2006 Table 6.4 (degraded grasslands 8 - 11 t.d./ha, using 10 as midpoint × 0.6 (degradation factor))</t>
  </si>
  <si>
    <t>AR Tool 15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</si>
  <si>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</si>
  <si>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</si>
  <si>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</si>
  <si>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</si>
  <si>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</si>
  <si>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</si>
  <si>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</si>
  <si>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</si>
  <si>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</si>
  <si>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Year Planting</t>
  </si>
  <si>
    <t xml:space="preserve">Receiving land before the displaced activity </t>
  </si>
  <si>
    <r>
      <t>LK (</t>
    </r>
    <r>
      <rPr>
        <b/>
        <i/>
        <sz val="11"/>
        <color theme="1"/>
        <rFont val="Aptos Narrow"/>
        <family val="2"/>
        <scheme val="minor"/>
      </rPr>
      <t>agric, t)</t>
    </r>
    <r>
      <rPr>
        <b/>
        <sz val="11"/>
        <color theme="1"/>
        <rFont val="Aptos Narrow"/>
        <family val="2"/>
        <scheme val="minor"/>
      </rPr>
      <t xml:space="preserve"> tCO2</t>
    </r>
  </si>
  <si>
    <r>
      <t>∆C(</t>
    </r>
    <r>
      <rPr>
        <b/>
        <i/>
        <sz val="11"/>
        <color theme="1"/>
        <rFont val="Aptos Narrow"/>
        <family val="2"/>
      </rPr>
      <t xml:space="preserve"> biomass,t)</t>
    </r>
    <r>
      <rPr>
        <b/>
        <sz val="11"/>
        <color theme="1"/>
        <rFont val="Aptos Narrow"/>
        <family val="2"/>
      </rPr>
      <t xml:space="preserve"> tC</t>
    </r>
  </si>
  <si>
    <r>
      <t xml:space="preserve"> ∆SOC (</t>
    </r>
    <r>
      <rPr>
        <b/>
        <i/>
        <sz val="11"/>
        <color theme="1"/>
        <rFont val="Aptos Narrow"/>
        <family val="2"/>
      </rPr>
      <t>luc,t)</t>
    </r>
    <r>
      <rPr>
        <b/>
        <sz val="11"/>
        <color theme="1"/>
        <rFont val="Aptos Narrow"/>
        <family val="2"/>
      </rPr>
      <t xml:space="preserve"> tC</t>
    </r>
  </si>
  <si>
    <t xml:space="preserve">Total </t>
  </si>
  <si>
    <t>NFC Project tCO2</t>
  </si>
  <si>
    <t>Leakage %</t>
  </si>
  <si>
    <t>Sensitivity 2</t>
  </si>
  <si>
    <t>% LK(t) tC02</t>
  </si>
  <si>
    <t>% LK / PROJECT GHG</t>
  </si>
  <si>
    <t>% LAND DISPLACED</t>
  </si>
  <si>
    <t>Sensitivity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</si>
</sst>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i/>
      <sz val="11"/>
      <color theme="1"/>
      <name val="Aptos Narrow"/>
      <family val="2"/>
    </font>
    <font>
      <sz val="7"/>
      <color rgb="FF1F2328"/>
      <name val="Segoe UI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0" fillId="0" borderId="1" xfId="0" applyBorder="1"/>
    <xf numFmtId="2" fontId="0" fillId="0" borderId="1" xfId="0" applyNumberFormat="1" applyBorder="1"/>
    <xf numFmtId="164" fontId="0" fillId="0" borderId="0" xfId="0" applyNumberFormat="1"/>
    <xf numFmtId="0" fontId="7" fillId="0" borderId="0" xfId="0" applyFont="1"/>
    <xf numFmtId="0" fontId="3" fillId="3" borderId="1" xfId="0" applyFont="1" applyFill="1" applyBorder="1"/>
    <xf numFmtId="0" fontId="5" fillId="3" borderId="1" xfId="0" applyFont="1" applyFill="1" applyBorder="1"/>
    <xf numFmtId="43" fontId="0" fillId="0" borderId="1" xfId="1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8" fillId="0" borderId="1" xfId="0" applyFont="1" applyBorder="1" applyAlignment="1">
      <alignment horizontal="left" vertical="top" wrapText="1"/>
    </xf>
    <xf numFmtId="2" fontId="0" fillId="2" borderId="1" xfId="0" applyNumberFormat="1" applyFill="1" applyBorder="1"/>
    <xf numFmtId="43" fontId="0" fillId="6" borderId="1" xfId="1" applyFont="1" applyFill="1" applyBorder="1"/>
    <xf numFmtId="2" fontId="1" fillId="0" borderId="1" xfId="0" applyNumberFormat="1" applyFont="1" applyBorder="1"/>
    <xf numFmtId="0" fontId="0" fillId="7" borderId="0" xfId="0" applyFill="1"/>
    <xf numFmtId="0" fontId="0" fillId="6" borderId="1" xfId="0" applyFill="1" applyBorder="1" applyAlignment="1">
      <alignment horizontal="left"/>
    </xf>
    <xf numFmtId="2" fontId="0" fillId="6" borderId="1" xfId="0" applyNumberFormat="1" applyFill="1" applyBorder="1"/>
    <xf numFmtId="0" fontId="0" fillId="6" borderId="0" xfId="0" applyFill="1"/>
    <xf numFmtId="0" fontId="3" fillId="5" borderId="0" xfId="0" applyFont="1" applyFill="1"/>
    <xf numFmtId="0" fontId="0" fillId="5" borderId="0" xfId="0" applyFill="1"/>
    <xf numFmtId="164" fontId="0" fillId="5" borderId="0" xfId="0" applyNumberFormat="1" applyFill="1"/>
    <xf numFmtId="43" fontId="0" fillId="5" borderId="0" xfId="0" applyNumberFormat="1" applyFill="1"/>
    <xf numFmtId="43" fontId="0" fillId="5" borderId="0" xfId="1" applyFont="1" applyFill="1"/>
    <xf numFmtId="9" fontId="0" fillId="5" borderId="0" xfId="0" applyNumberFormat="1" applyFill="1"/>
    <xf numFmtId="0" fontId="3" fillId="7" borderId="1" xfId="0" applyFont="1" applyFill="1" applyBorder="1"/>
    <xf numFmtId="43" fontId="3" fillId="7" borderId="1" xfId="1" applyFont="1" applyFill="1" applyBorder="1"/>
    <xf numFmtId="0" fontId="3" fillId="8" borderId="1" xfId="0" applyFont="1" applyFill="1" applyBorder="1"/>
    <xf numFmtId="0" fontId="5" fillId="8" borderId="1" xfId="0" applyFont="1" applyFill="1" applyBorder="1"/>
    <xf numFmtId="165" fontId="0" fillId="5" borderId="0" xfId="0" applyNumberFormat="1" applyFill="1"/>
    <xf numFmtId="164" fontId="3" fillId="9" borderId="3" xfId="0" applyNumberFormat="1" applyFont="1" applyFill="1" applyBorder="1"/>
    <xf numFmtId="9" fontId="0" fillId="9" borderId="4" xfId="0" applyNumberFormat="1" applyFill="1" applyBorder="1"/>
    <xf numFmtId="165" fontId="0" fillId="9" borderId="4" xfId="2" applyNumberFormat="1" applyFont="1" applyFill="1" applyBorder="1"/>
    <xf numFmtId="0" fontId="0" fillId="9" borderId="4" xfId="0" applyFill="1" applyBorder="1"/>
    <xf numFmtId="0" fontId="0" fillId="9" borderId="5" xfId="0" applyFill="1" applyBorder="1"/>
    <xf numFmtId="164" fontId="3" fillId="8" borderId="6" xfId="0" applyNumberFormat="1" applyFont="1" applyFill="1" applyBorder="1"/>
    <xf numFmtId="0" fontId="5" fillId="8" borderId="7" xfId="0" applyFont="1" applyFill="1" applyBorder="1"/>
    <xf numFmtId="164" fontId="0" fillId="0" borderId="6" xfId="0" applyNumberFormat="1" applyBorder="1"/>
    <xf numFmtId="164" fontId="0" fillId="0" borderId="8" xfId="0" applyNumberFormat="1" applyBorder="1"/>
    <xf numFmtId="43" fontId="0" fillId="6" borderId="9" xfId="1" applyFont="1" applyFill="1" applyBorder="1"/>
    <xf numFmtId="43" fontId="0" fillId="0" borderId="9" xfId="1" applyFont="1" applyBorder="1"/>
    <xf numFmtId="2" fontId="0" fillId="0" borderId="9" xfId="0" applyNumberFormat="1" applyBorder="1"/>
    <xf numFmtId="2" fontId="0" fillId="6" borderId="9" xfId="0" applyNumberFormat="1" applyFill="1" applyBorder="1"/>
    <xf numFmtId="0" fontId="3" fillId="5" borderId="2" xfId="0" applyFont="1" applyFill="1" applyBorder="1"/>
    <xf numFmtId="0" fontId="0" fillId="0" borderId="2" xfId="0" applyBorder="1"/>
    <xf numFmtId="0" fontId="0" fillId="6" borderId="2" xfId="0" applyFill="1" applyBorder="1"/>
    <xf numFmtId="164" fontId="3" fillId="4" borderId="3" xfId="0" applyNumberFormat="1" applyFont="1" applyFill="1" applyBorder="1"/>
    <xf numFmtId="9" fontId="0" fillId="4" borderId="4" xfId="0" applyNumberFormat="1" applyFill="1" applyBorder="1"/>
    <xf numFmtId="165" fontId="0" fillId="4" borderId="4" xfId="2" applyNumberFormat="1" applyFont="1" applyFill="1" applyBorder="1"/>
    <xf numFmtId="0" fontId="0" fillId="4" borderId="4" xfId="0" applyFill="1" applyBorder="1"/>
    <xf numFmtId="0" fontId="0" fillId="4" borderId="5" xfId="0" applyFill="1" applyBorder="1"/>
    <xf numFmtId="164" fontId="3" fillId="3" borderId="6" xfId="0" applyNumberFormat="1" applyFont="1" applyFill="1" applyBorder="1"/>
    <xf numFmtId="43" fontId="3" fillId="3" borderId="7" xfId="1" applyFont="1" applyFill="1" applyBorder="1"/>
    <xf numFmtId="9" fontId="0" fillId="0" borderId="7" xfId="2" applyFont="1" applyBorder="1"/>
    <xf numFmtId="164" fontId="0" fillId="6" borderId="6" xfId="0" applyNumberFormat="1" applyFill="1" applyBorder="1"/>
    <xf numFmtId="9" fontId="0" fillId="0" borderId="10" xfId="2" applyFont="1" applyBorder="1"/>
    <xf numFmtId="164" fontId="3" fillId="10" borderId="3" xfId="0" applyNumberFormat="1" applyFont="1" applyFill="1" applyBorder="1"/>
    <xf numFmtId="9" fontId="0" fillId="10" borderId="4" xfId="0" applyNumberFormat="1" applyFill="1" applyBorder="1"/>
    <xf numFmtId="165" fontId="0" fillId="10" borderId="4" xfId="2" applyNumberFormat="1" applyFont="1" applyFill="1" applyBorder="1"/>
    <xf numFmtId="0" fontId="0" fillId="10" borderId="4" xfId="0" applyFill="1" applyBorder="1"/>
    <xf numFmtId="0" fontId="0" fillId="10" borderId="5" xfId="0" applyFill="1" applyBorder="1"/>
    <xf numFmtId="164" fontId="3" fillId="11" borderId="6" xfId="0" applyNumberFormat="1" applyFont="1" applyFill="1" applyBorder="1"/>
    <xf numFmtId="0" fontId="3" fillId="11" borderId="1" xfId="0" applyFont="1" applyFill="1" applyBorder="1"/>
    <xf numFmtId="0" fontId="5" fillId="11" borderId="1" xfId="0" applyFont="1" applyFill="1" applyBorder="1"/>
    <xf numFmtId="0" fontId="5" fillId="11" borderId="7" xfId="0" applyFont="1" applyFill="1" applyBorder="1"/>
    <xf numFmtId="165" fontId="0" fillId="7" borderId="7" xfId="2" applyNumberFormat="1" applyFont="1" applyFill="1" applyBorder="1"/>
    <xf numFmtId="165" fontId="0" fillId="7" borderId="10" xfId="2" applyNumberFormat="1" applyFont="1" applyFill="1" applyBorder="1"/>
    <xf numFmtId="0" fontId="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39189</xdr:colOff>
      <xdr:row>15</xdr:row>
      <xdr:rowOff>181793</xdr:rowOff>
    </xdr:from>
    <xdr:to>
      <xdr:col>6</xdr:col>
      <xdr:colOff>960650</xdr:colOff>
      <xdr:row>18</xdr:row>
      <xdr:rowOff>49614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02B99-975C-9291-CA95-53720D6E5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509" y="3237413"/>
          <a:ext cx="2772600" cy="410595"/>
        </a:xfrm>
        <a:prstGeom prst="rect">
          <a:avLst/>
        </a:prstGeom>
      </xdr:spPr>
    </xdr:pic>
    <xdr:clientData/>
  </xdr:twoCellAnchor>
  <xdr:twoCellAnchor editAs="oneCell">
    <xdr:from>
      <xdr:col>6</xdr:col>
      <xdr:colOff>1184984</xdr:colOff>
      <xdr:row>15</xdr:row>
      <xdr:rowOff>95895</xdr:rowOff>
    </xdr:from>
    <xdr:to>
      <xdr:col>41</xdr:col>
      <xdr:colOff>18878</xdr:colOff>
      <xdr:row>18</xdr:row>
      <xdr:rowOff>68834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590E39-1859-35AA-59BD-5C23ECC22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9961" y="2962054"/>
          <a:ext cx="4683728" cy="515738"/>
        </a:xfrm>
        <a:prstGeom prst="rect">
          <a:avLst/>
        </a:prstGeom>
      </xdr:spPr>
    </xdr:pic>
    <xdr:clientData/>
  </xdr:twoCellAnchor>
  <xdr:twoCellAnchor editAs="oneCell">
    <xdr:from>
      <xdr:col>14</xdr:col>
      <xdr:colOff>244928</xdr:colOff>
      <xdr:row>15</xdr:row>
      <xdr:rowOff>46810</xdr:rowOff>
    </xdr:from>
    <xdr:to>
      <xdr:col>44</xdr:col>
      <xdr:colOff>1096653</xdr:colOff>
      <xdr:row>18</xdr:row>
      <xdr:rowOff>8092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FF54B8-EBC0-01BF-F64E-99DC4C1D4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42368" y="3102430"/>
          <a:ext cx="4862799" cy="50838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ez de la Hoz, Gabriela G SIEPBV-DRD/N/E" id="{FC77A302-42DC-4472-8DE7-14A59CF8FEA4}" userId="S::G.MartinezdelaHoz@shell.com::bb921001-5e27-4513-b63d-fefa4bf738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6-01-26T09:22:32.86" personId="{FC77A302-42DC-4472-8DE7-14A59CF8FEA4}" id="{F927B150-8B5F-4CE5-9C3B-D621A12496C1}">
    <text>LAC soils (Ferralsols, Nitisols and Olinthosols) Tropical, moist Tools 16</text>
  </threadedComment>
  <threadedComment ref="H5" dT="2026-01-26T09:08:38.40" personId="{FC77A302-42DC-4472-8DE7-14A59CF8FEA4}" id="{586234AA-0478-4E42-87B5-5684907F9E9D}">
    <text xml:space="preserve">This depends if activity will shift to forests or other more degraded areas
</text>
  </threadedComment>
  <threadedComment ref="H7" dT="2026-01-26T09:14:13.85" personId="{FC77A302-42DC-4472-8DE7-14A59CF8FEA4}" id="{E238A8B4-A985-4537-B16E-BE0F9C1840DF}">
    <text xml:space="preserve">Eq 27 - ARM tool 14 v4.2
=BDR*bforest*CC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E691-D4CD-4514-A55C-C39E8302CC57}">
  <dimension ref="D3:DH63"/>
  <sheetViews>
    <sheetView tabSelected="1" topLeftCell="C18" zoomScale="130" zoomScaleNormal="130" workbookViewId="0">
      <selection activeCell="G25" sqref="G25"/>
    </sheetView>
  </sheetViews>
  <sheetFormatPr defaultRowHeight="14.6" outlineLevelCol="1" x14ac:dyDescent="0.4"/>
  <cols>
    <col min="1" max="2" width="3.53515625" customWidth="1"/>
    <col min="3" max="3" width="3.84375" customWidth="1"/>
    <col min="4" max="4" width="11.3828125" bestFit="1" customWidth="1"/>
    <col min="5" max="5" width="10.23046875" customWidth="1"/>
    <col min="6" max="6" width="16.07421875" bestFit="1" customWidth="1"/>
    <col min="7" max="7" width="16.765625" bestFit="1" customWidth="1"/>
    <col min="8" max="8" width="16.53515625" style="4" bestFit="1" customWidth="1"/>
    <col min="9" max="9" width="16.4609375" customWidth="1"/>
    <col min="10" max="10" width="16.84375" customWidth="1"/>
    <col min="11" max="13" width="12.3828125" hidden="1" customWidth="1" outlineLevel="1"/>
    <col min="14" max="39" width="11.3828125" hidden="1" customWidth="1" outlineLevel="1"/>
    <col min="40" max="40" width="12.69140625" hidden="1" customWidth="1" outlineLevel="1"/>
    <col min="41" max="41" width="15.765625" bestFit="1" customWidth="1" collapsed="1"/>
    <col min="43" max="43" width="11" bestFit="1" customWidth="1"/>
    <col min="44" max="44" width="17.15234375" bestFit="1" customWidth="1"/>
    <col min="45" max="45" width="17.765625" bestFit="1" customWidth="1"/>
    <col min="46" max="75" width="9.23046875" hidden="1" customWidth="1" outlineLevel="1"/>
    <col min="76" max="76" width="13.3828125" customWidth="1" collapsed="1"/>
    <col min="77" max="77" width="10.921875" bestFit="1" customWidth="1"/>
    <col min="78" max="78" width="11" bestFit="1" customWidth="1"/>
    <col min="79" max="79" width="17.15234375" bestFit="1" customWidth="1"/>
    <col min="80" max="80" width="17.765625" bestFit="1" customWidth="1"/>
    <col min="81" max="89" width="11.23046875" hidden="1" customWidth="1" outlineLevel="1"/>
    <col min="90" max="110" width="6.3828125" hidden="1" customWidth="1" outlineLevel="1"/>
    <col min="111" max="111" width="14.07421875" customWidth="1" collapsed="1"/>
    <col min="112" max="112" width="10.921875" bestFit="1" customWidth="1"/>
  </cols>
  <sheetData>
    <row r="3" spans="5:10" x14ac:dyDescent="0.4">
      <c r="G3" s="2" t="s">
        <v>0</v>
      </c>
      <c r="H3" s="3">
        <f>44/12</f>
        <v>3.6666666666666665</v>
      </c>
    </row>
    <row r="4" spans="5:10" x14ac:dyDescent="0.4">
      <c r="G4" s="2" t="s">
        <v>1</v>
      </c>
      <c r="H4" s="14">
        <v>47</v>
      </c>
      <c r="I4" t="s">
        <v>16</v>
      </c>
    </row>
    <row r="5" spans="5:10" x14ac:dyDescent="0.4">
      <c r="G5" s="2" t="s">
        <v>3</v>
      </c>
      <c r="H5" s="12">
        <v>0</v>
      </c>
      <c r="I5" t="s">
        <v>15</v>
      </c>
    </row>
    <row r="6" spans="5:10" x14ac:dyDescent="0.4">
      <c r="G6" s="2" t="s">
        <v>4</v>
      </c>
      <c r="H6" s="14">
        <v>0.25</v>
      </c>
      <c r="I6" s="1" t="s">
        <v>5</v>
      </c>
    </row>
    <row r="7" spans="5:10" x14ac:dyDescent="0.4">
      <c r="G7" s="2" t="s">
        <v>7</v>
      </c>
      <c r="H7" s="12">
        <f>10*0.6</f>
        <v>6</v>
      </c>
      <c r="I7" t="s">
        <v>15</v>
      </c>
      <c r="J7" s="5" t="s">
        <v>27</v>
      </c>
    </row>
    <row r="8" spans="5:10" ht="15" customHeight="1" x14ac:dyDescent="0.4">
      <c r="G8" s="2" t="s">
        <v>6</v>
      </c>
      <c r="H8" s="14">
        <f>0.4</f>
        <v>0.4</v>
      </c>
      <c r="I8" t="s">
        <v>15</v>
      </c>
      <c r="J8" t="s">
        <v>28</v>
      </c>
    </row>
    <row r="9" spans="5:10" x14ac:dyDescent="0.4">
      <c r="G9" s="2" t="s">
        <v>8</v>
      </c>
      <c r="H9" s="14">
        <v>0.47</v>
      </c>
    </row>
    <row r="10" spans="5:10" ht="14.6" customHeight="1" x14ac:dyDescent="0.4">
      <c r="E10" s="67" t="s">
        <v>39</v>
      </c>
      <c r="F10" s="11"/>
      <c r="G10" s="2" t="s">
        <v>9</v>
      </c>
      <c r="H10" s="3">
        <v>1</v>
      </c>
      <c r="I10" t="s">
        <v>20</v>
      </c>
    </row>
    <row r="11" spans="5:10" x14ac:dyDescent="0.4">
      <c r="E11" s="67"/>
      <c r="F11" s="11"/>
      <c r="G11" s="2" t="s">
        <v>10</v>
      </c>
      <c r="H11" s="3">
        <v>0.97</v>
      </c>
      <c r="I11" t="s">
        <v>18</v>
      </c>
    </row>
    <row r="12" spans="5:10" ht="24.9" customHeight="1" x14ac:dyDescent="0.4">
      <c r="E12" s="67"/>
      <c r="F12" s="11"/>
      <c r="G12" s="2" t="s">
        <v>11</v>
      </c>
      <c r="H12" s="3">
        <v>1</v>
      </c>
      <c r="I12" t="s">
        <v>19</v>
      </c>
    </row>
    <row r="13" spans="5:10" x14ac:dyDescent="0.4">
      <c r="E13" s="68" t="s">
        <v>17</v>
      </c>
      <c r="F13" s="10"/>
      <c r="G13" s="2" t="s">
        <v>12</v>
      </c>
      <c r="H13" s="3">
        <v>0.48</v>
      </c>
      <c r="I13" t="s">
        <v>22</v>
      </c>
    </row>
    <row r="14" spans="5:10" x14ac:dyDescent="0.4">
      <c r="E14" s="68"/>
      <c r="F14" s="10"/>
      <c r="G14" s="2" t="s">
        <v>13</v>
      </c>
      <c r="H14" s="3">
        <v>1</v>
      </c>
      <c r="I14" t="s">
        <v>21</v>
      </c>
    </row>
    <row r="15" spans="5:10" x14ac:dyDescent="0.4">
      <c r="E15" s="68"/>
      <c r="F15" s="10"/>
      <c r="G15" s="2" t="s">
        <v>14</v>
      </c>
      <c r="H15" s="3">
        <v>0.92</v>
      </c>
      <c r="I15" t="s">
        <v>19</v>
      </c>
    </row>
    <row r="20" spans="4:112" ht="15" thickBot="1" x14ac:dyDescent="0.45">
      <c r="I20" s="15" t="s">
        <v>49</v>
      </c>
      <c r="J20" s="15" t="s">
        <v>48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R20" s="15" t="s">
        <v>49</v>
      </c>
      <c r="AS20" s="15" t="s">
        <v>48</v>
      </c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CA20" s="15" t="s">
        <v>49</v>
      </c>
      <c r="CB20" s="15" t="s">
        <v>48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</row>
    <row r="21" spans="4:112" x14ac:dyDescent="0.4">
      <c r="H21" s="46" t="s">
        <v>23</v>
      </c>
      <c r="I21" s="47">
        <v>0.16</v>
      </c>
      <c r="J21" s="48">
        <f>AP63</f>
        <v>5.0930076015826567E-2</v>
      </c>
      <c r="K21" s="49" t="s">
        <v>29</v>
      </c>
      <c r="L21" s="49" t="s">
        <v>30</v>
      </c>
      <c r="M21" s="49" t="s">
        <v>31</v>
      </c>
      <c r="N21" s="49" t="s">
        <v>32</v>
      </c>
      <c r="O21" s="49" t="s">
        <v>33</v>
      </c>
      <c r="P21" s="49" t="s">
        <v>34</v>
      </c>
      <c r="Q21" s="49" t="s">
        <v>35</v>
      </c>
      <c r="R21" s="49" t="s">
        <v>36</v>
      </c>
      <c r="S21" s="49" t="s">
        <v>37</v>
      </c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0"/>
      <c r="AQ21" s="30" t="s">
        <v>46</v>
      </c>
      <c r="AR21" s="31">
        <v>0.5</v>
      </c>
      <c r="AS21" s="32">
        <f>BY63</f>
        <v>0.15915648754945805</v>
      </c>
      <c r="AT21" s="33" t="s">
        <v>29</v>
      </c>
      <c r="AU21" s="33" t="s">
        <v>30</v>
      </c>
      <c r="AV21" s="33" t="s">
        <v>31</v>
      </c>
      <c r="AW21" s="33" t="s">
        <v>32</v>
      </c>
      <c r="AX21" s="33" t="s">
        <v>33</v>
      </c>
      <c r="AY21" s="33" t="s">
        <v>34</v>
      </c>
      <c r="AZ21" s="33" t="s">
        <v>35</v>
      </c>
      <c r="BA21" s="33" t="s">
        <v>36</v>
      </c>
      <c r="BB21" s="33" t="s">
        <v>37</v>
      </c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4"/>
      <c r="BZ21" s="56" t="s">
        <v>50</v>
      </c>
      <c r="CA21" s="57">
        <v>1</v>
      </c>
      <c r="CB21" s="58">
        <f>DH63</f>
        <v>0.36016553290761039</v>
      </c>
      <c r="CC21" s="59" t="s">
        <v>29</v>
      </c>
      <c r="CD21" s="59" t="s">
        <v>30</v>
      </c>
      <c r="CE21" s="59" t="s">
        <v>31</v>
      </c>
      <c r="CF21" s="59" t="s">
        <v>32</v>
      </c>
      <c r="CG21" s="59" t="s">
        <v>33</v>
      </c>
      <c r="CH21" s="59" t="s">
        <v>34</v>
      </c>
      <c r="CI21" s="59" t="s">
        <v>35</v>
      </c>
      <c r="CJ21" s="59" t="s">
        <v>36</v>
      </c>
      <c r="CK21" s="59" t="s">
        <v>37</v>
      </c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60"/>
    </row>
    <row r="22" spans="4:112" x14ac:dyDescent="0.4">
      <c r="D22" s="25" t="s">
        <v>38</v>
      </c>
      <c r="E22" s="25" t="s">
        <v>2</v>
      </c>
      <c r="F22" s="26" t="s">
        <v>44</v>
      </c>
      <c r="G22" s="43" t="s">
        <v>26</v>
      </c>
      <c r="H22" s="51" t="s">
        <v>24</v>
      </c>
      <c r="I22" s="6" t="s">
        <v>40</v>
      </c>
      <c r="J22" s="7" t="s">
        <v>41</v>
      </c>
      <c r="K22" s="7" t="s">
        <v>25</v>
      </c>
      <c r="L22" s="7" t="s">
        <v>25</v>
      </c>
      <c r="M22" s="7" t="s">
        <v>25</v>
      </c>
      <c r="N22" s="7" t="s">
        <v>25</v>
      </c>
      <c r="O22" s="7" t="s">
        <v>25</v>
      </c>
      <c r="P22" s="7" t="s">
        <v>25</v>
      </c>
      <c r="Q22" s="7" t="s">
        <v>25</v>
      </c>
      <c r="R22" s="7" t="s">
        <v>25</v>
      </c>
      <c r="S22" s="7" t="s">
        <v>25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 t="s">
        <v>42</v>
      </c>
      <c r="AP22" s="52" t="s">
        <v>45</v>
      </c>
      <c r="AQ22" s="35" t="s">
        <v>24</v>
      </c>
      <c r="AR22" s="27" t="s">
        <v>40</v>
      </c>
      <c r="AS22" s="28" t="s">
        <v>41</v>
      </c>
      <c r="AT22" s="28" t="s">
        <v>25</v>
      </c>
      <c r="AU22" s="28" t="s">
        <v>25</v>
      </c>
      <c r="AV22" s="28" t="s">
        <v>25</v>
      </c>
      <c r="AW22" s="28" t="s">
        <v>25</v>
      </c>
      <c r="AX22" s="28" t="s">
        <v>25</v>
      </c>
      <c r="AY22" s="28" t="s">
        <v>25</v>
      </c>
      <c r="AZ22" s="28" t="s">
        <v>25</v>
      </c>
      <c r="BA22" s="28" t="s">
        <v>25</v>
      </c>
      <c r="BB22" s="28" t="s">
        <v>25</v>
      </c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 t="s">
        <v>42</v>
      </c>
      <c r="BY22" s="36" t="s">
        <v>47</v>
      </c>
      <c r="BZ22" s="61" t="s">
        <v>24</v>
      </c>
      <c r="CA22" s="62" t="s">
        <v>40</v>
      </c>
      <c r="CB22" s="63" t="s">
        <v>41</v>
      </c>
      <c r="CC22" s="63" t="s">
        <v>25</v>
      </c>
      <c r="CD22" s="63" t="s">
        <v>25</v>
      </c>
      <c r="CE22" s="63" t="s">
        <v>25</v>
      </c>
      <c r="CF22" s="63" t="s">
        <v>25</v>
      </c>
      <c r="CG22" s="63" t="s">
        <v>25</v>
      </c>
      <c r="CH22" s="63" t="s">
        <v>25</v>
      </c>
      <c r="CI22" s="63" t="s">
        <v>25</v>
      </c>
      <c r="CJ22" s="63" t="s">
        <v>25</v>
      </c>
      <c r="CK22" s="63" t="s">
        <v>25</v>
      </c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3"/>
      <c r="DD22" s="63"/>
      <c r="DE22" s="63"/>
      <c r="DF22" s="63"/>
      <c r="DG22" s="63" t="s">
        <v>42</v>
      </c>
      <c r="DH22" s="64" t="s">
        <v>47</v>
      </c>
    </row>
    <row r="23" spans="4:112" x14ac:dyDescent="0.4">
      <c r="D23" s="9">
        <v>1</v>
      </c>
      <c r="E23" s="9">
        <f t="shared" ref="E23:E25" si="0">E24-1</f>
        <v>2017</v>
      </c>
      <c r="F23" s="8">
        <v>53051.812508057505</v>
      </c>
      <c r="G23" s="44">
        <v>353.9500000000001</v>
      </c>
      <c r="H23" s="37">
        <f t="shared" ref="H23:H62" si="1">G23*$I$21</f>
        <v>56.632000000000019</v>
      </c>
      <c r="I23" s="8">
        <f>$H$3*(J23+AO23)</f>
        <v>1077.6529708266669</v>
      </c>
      <c r="J23" s="8">
        <f>(1.1*$H$5*(1+$H$6)+$H$7*(1+$H$8))*$H$9*$H23</f>
        <v>223.58313600000002</v>
      </c>
      <c r="K23" s="3">
        <f>IF($D23&lt;=20,$H$4*($H$10*$H$11*$H$12-$H$13*$H$14*$H$15)*$H$23/20,0)</f>
        <v>70.322219680000018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8">
        <f>SUM(K23:AN23)</f>
        <v>70.322219680000018</v>
      </c>
      <c r="AP23" s="53">
        <f>I23/F23</f>
        <v>2.0313216832374824E-2</v>
      </c>
      <c r="AQ23" s="37">
        <f>G23*$AR$21</f>
        <v>176.97500000000005</v>
      </c>
      <c r="AR23" s="8">
        <f>$H$3*(AS23+BX23)</f>
        <v>3367.6655338333335</v>
      </c>
      <c r="AS23" s="8">
        <f>(1.1*$H$5*(1+$H$6)+$H$7*(1+$H$8))*$H$9*$AQ23</f>
        <v>698.69730000000004</v>
      </c>
      <c r="AT23" s="3">
        <f>IF($D23&lt;=20,$H$4*($H$10*$H$11*$H$12-$H$13*$H$14*$H$15)*$AQ$23/20,0)</f>
        <v>219.75693650000002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8">
        <f>SUM(AT23:BW23)</f>
        <v>219.75693650000002</v>
      </c>
      <c r="BY23" s="65">
        <f>AR23/F23</f>
        <v>6.3478802601171308E-2</v>
      </c>
      <c r="BZ23" s="37">
        <f>G23*$CA$21</f>
        <v>353.9500000000001</v>
      </c>
      <c r="CA23" s="8">
        <f>$H$3*(CB23+DG23)</f>
        <v>6735.331067666667</v>
      </c>
      <c r="CB23" s="8">
        <f>(1.1*$H$5*(1+$H$6)+$H$7*(1+$H$8))*$H$9*$BZ23</f>
        <v>1397.3946000000001</v>
      </c>
      <c r="CC23" s="3">
        <f>IF($D23&lt;=20,$H$4*($H$10*$H$11*$H$12-$H$13*$H$14*$H$15)*$BZ$23/20,0)</f>
        <v>439.51387300000005</v>
      </c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8">
        <f>SUM(CC23:$DF$23)</f>
        <v>439.51387300000005</v>
      </c>
      <c r="DH23" s="65">
        <f>CA23/$F$23</f>
        <v>0.12695760520234262</v>
      </c>
    </row>
    <row r="24" spans="4:112" x14ac:dyDescent="0.4">
      <c r="D24" s="9">
        <f>D23+1</f>
        <v>2</v>
      </c>
      <c r="E24" s="9">
        <f t="shared" si="0"/>
        <v>2018</v>
      </c>
      <c r="F24" s="8">
        <v>67463.379009085853</v>
      </c>
      <c r="G24" s="44">
        <v>208.55</v>
      </c>
      <c r="H24" s="37">
        <f t="shared" si="1"/>
        <v>33.368000000000002</v>
      </c>
      <c r="I24" s="8">
        <f t="shared" ref="I24:I62" si="2">$H$3*(J24+AO24)</f>
        <v>848.74434532095995</v>
      </c>
      <c r="J24" s="8">
        <f>(1.1*$H$5*(1+$H$6)+$H$7*(1+$H$8))*$H$9*$H24</f>
        <v>131.73686399999997</v>
      </c>
      <c r="K24" s="3">
        <f t="shared" ref="K24:K62" si="3">IF($D24&lt;=20,$H$4*($H$10*$H$11*$H$12-$H$13*$H$14*$H$15)*$H$23/20,0)</f>
        <v>70.322219680000018</v>
      </c>
      <c r="L24" s="3">
        <f>IF($D23&lt;=20,$H$24*($H$10*$H$11*$H$12-$H$13*$H$14*$H$15)*$H$24/20,0)</f>
        <v>29.41664686208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8">
        <f t="shared" ref="AO24:AO62" si="4">SUM(K24:AN24)</f>
        <v>99.738866542080018</v>
      </c>
      <c r="AP24" s="53">
        <f t="shared" ref="AP24:AP62" si="5">I24/F24</f>
        <v>1.258081581129597E-2</v>
      </c>
      <c r="AQ24" s="37">
        <f t="shared" ref="AQ24:AQ62" si="6">G24*$AR$21</f>
        <v>104.27500000000001</v>
      </c>
      <c r="AR24" s="8">
        <f t="shared" ref="AR24:AR62" si="7">$H$3*(AS24+BX24)</f>
        <v>2652.3260791279995</v>
      </c>
      <c r="AS24" s="8">
        <f t="shared" ref="AS24:AS62" si="8">(1.1*$H$5*(1+$H$6)+$H$7*(1+$H$8))*$H$9*$AQ24</f>
        <v>411.6776999999999</v>
      </c>
      <c r="AT24" s="3">
        <f t="shared" ref="AT24:AT62" si="9">IF($D24&lt;=20,$H$4*($H$10*$H$11*$H$12-$H$13*$H$14*$H$15)*$AQ$23/20,0)</f>
        <v>219.75693650000002</v>
      </c>
      <c r="AU24" s="3">
        <f>IF($D23&lt;=20,$AQ$24*($H$10*$H$11*$H$12-$H$13*$H$14*$H$15)*$H$24/20,0)</f>
        <v>91.927021444000019</v>
      </c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8">
        <f t="shared" ref="BX24:BX62" si="10">SUM(AT24:BW24)</f>
        <v>311.68395794400004</v>
      </c>
      <c r="BY24" s="65">
        <f t="shared" ref="BY24:BY62" si="11">AR24/F24</f>
        <v>3.9315049410299903E-2</v>
      </c>
      <c r="BZ24" s="37">
        <f t="shared" ref="BZ24:BZ62" si="12">G24*$CA$21</f>
        <v>208.55</v>
      </c>
      <c r="CA24" s="8">
        <f t="shared" ref="CA24:CA62" si="13">$H$3*(CB24+DG24)</f>
        <v>6737.1815757583336</v>
      </c>
      <c r="CB24" s="8">
        <f t="shared" ref="CB24:CB62" si="14">(1.1*$H$5*(1+$H$6)+$H$7*(1+$H$8))*$H$9*$BZ24</f>
        <v>823.3553999999998</v>
      </c>
      <c r="CC24" s="3">
        <f t="shared" ref="CC24:CC62" si="15">IF($D24&lt;=20,$H$4*($H$10*$H$11*$H$12-$H$13*$H$14*$H$15)*$BZ$23/20,0)</f>
        <v>439.51387300000005</v>
      </c>
      <c r="CD24" s="3">
        <f>IF($D23&lt;=20,$AQ$24*($H$10*$H$11*$H$12-$H$13*$H$14*$H$15)*$BZ$24/20,0)</f>
        <v>574.54388402500012</v>
      </c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8">
        <f t="shared" ref="DG24:DG62" si="16">SUM(CC24:DF24)</f>
        <v>1014.0577570250002</v>
      </c>
      <c r="DH24" s="65">
        <f t="shared" ref="DH24:DH62" si="17">CA24/$F$23</f>
        <v>0.12699248634973764</v>
      </c>
    </row>
    <row r="25" spans="4:112" x14ac:dyDescent="0.4">
      <c r="D25" s="9">
        <f t="shared" ref="D25:E40" si="18">D24+1</f>
        <v>3</v>
      </c>
      <c r="E25" s="9">
        <f t="shared" si="0"/>
        <v>2019</v>
      </c>
      <c r="F25" s="8">
        <v>78224.247063288713</v>
      </c>
      <c r="G25" s="44">
        <v>244.22000000000008</v>
      </c>
      <c r="H25" s="37">
        <f t="shared" si="1"/>
        <v>39.075200000000017</v>
      </c>
      <c r="I25" s="8">
        <f t="shared" si="2"/>
        <v>1109.2729816302933</v>
      </c>
      <c r="J25" s="8">
        <f>(1.1*$H$5*(1+$H$6)+$H$7*(1+$H$8))*$H$9*$H25</f>
        <v>154.26888960000002</v>
      </c>
      <c r="K25" s="3">
        <f t="shared" si="3"/>
        <v>70.322219680000018</v>
      </c>
      <c r="L25" s="3">
        <f t="shared" ref="L25:L62" si="19">IF($D24&lt;=20,$H$24*($H$10*$H$11*$H$12-$H$13*$H$14*$H$15)*$H$24/20,0)</f>
        <v>29.41664686208</v>
      </c>
      <c r="M25" s="3">
        <f>IF($D23&lt;=20,$H$4*($H$10*$H$11*$H$12-$H$13*$H$14*$H$15)*$H$25/20,0)</f>
        <v>48.521238848000017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8">
        <f t="shared" si="4"/>
        <v>148.26010539008004</v>
      </c>
      <c r="AP25" s="53">
        <f t="shared" si="5"/>
        <v>1.4180679562601816E-2</v>
      </c>
      <c r="AQ25" s="37">
        <f t="shared" si="6"/>
        <v>122.11000000000004</v>
      </c>
      <c r="AR25" s="8">
        <f t="shared" si="7"/>
        <v>3466.4780675946668</v>
      </c>
      <c r="AS25" s="8">
        <f t="shared" si="8"/>
        <v>482.09028000000006</v>
      </c>
      <c r="AT25" s="3">
        <f t="shared" si="9"/>
        <v>219.75693650000002</v>
      </c>
      <c r="AU25" s="3">
        <f t="shared" ref="AU25:AU62" si="20">IF($D24&lt;=20,$AQ$24*($H$10*$H$11*$H$12-$H$13*$H$14*$H$15)*$H$24/20,0)</f>
        <v>91.927021444000019</v>
      </c>
      <c r="AV25" s="3">
        <f>IF($D23&lt;=20,$H$4*($H$10*$H$11*$H$12-$H$13*$H$14*$H$15)*$AQ$25/20,0)</f>
        <v>151.62887140000004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8">
        <f t="shared" si="10"/>
        <v>463.31282934400008</v>
      </c>
      <c r="BY25" s="65">
        <f t="shared" si="11"/>
        <v>4.4314623633130677E-2</v>
      </c>
      <c r="BZ25" s="37">
        <f t="shared" si="12"/>
        <v>244.22000000000008</v>
      </c>
      <c r="CA25" s="8">
        <f t="shared" si="13"/>
        <v>8365.4855526916672</v>
      </c>
      <c r="CB25" s="8">
        <f t="shared" si="14"/>
        <v>964.18056000000013</v>
      </c>
      <c r="CC25" s="3">
        <f t="shared" si="15"/>
        <v>439.51387300000005</v>
      </c>
      <c r="CD25" s="3">
        <f t="shared" ref="CD25:CD62" si="21">IF($D24&lt;=20,$AQ$24*($H$10*$H$11*$H$12-$H$13*$H$14*$H$15)*$BZ$24/20,0)</f>
        <v>574.54388402500012</v>
      </c>
      <c r="CE25" s="3">
        <f>IF($D23&lt;=20,$H$4*($H$10*$H$11*$H$12-$H$13*$H$14*$H$15)*$BZ$25/20,0)</f>
        <v>303.25774280000007</v>
      </c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8">
        <f t="shared" si="16"/>
        <v>1317.3154998250002</v>
      </c>
      <c r="DH25" s="65">
        <f t="shared" si="17"/>
        <v>0.15768519786993362</v>
      </c>
    </row>
    <row r="26" spans="4:112" x14ac:dyDescent="0.4">
      <c r="D26" s="9">
        <f t="shared" si="18"/>
        <v>4</v>
      </c>
      <c r="E26" s="9">
        <f>E27-1</f>
        <v>2020</v>
      </c>
      <c r="F26" s="8">
        <v>94110.404273907014</v>
      </c>
      <c r="G26" s="44">
        <v>111.17999999999998</v>
      </c>
      <c r="H26" s="37">
        <f t="shared" si="1"/>
        <v>17.788799999999998</v>
      </c>
      <c r="I26" s="8">
        <f t="shared" si="2"/>
        <v>882.12429177429328</v>
      </c>
      <c r="J26" s="8">
        <f>(1.1*$H$5*(1+$H$6)+$H$7*(1+$H$8))*$H$9*$H26</f>
        <v>70.230182399999975</v>
      </c>
      <c r="K26" s="3">
        <f t="shared" si="3"/>
        <v>70.322219680000018</v>
      </c>
      <c r="L26" s="3">
        <f t="shared" si="19"/>
        <v>29.41664686208</v>
      </c>
      <c r="M26" s="3">
        <f t="shared" ref="M26:M62" si="22">IF($D24&lt;=20,$H$4*($H$10*$H$11*$H$12-$H$13*$H$14*$H$15)*$H$25/20,0)</f>
        <v>48.521238848000017</v>
      </c>
      <c r="N26" s="3">
        <f>IF($D23&lt;=20,$H$4*($H$10*$H$11*$H$12-$H$13*$H$14*$H$15)*$H$26/20,0)</f>
        <v>22.089064511999997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8">
        <f t="shared" si="4"/>
        <v>170.34916990208004</v>
      </c>
      <c r="AP26" s="53">
        <f t="shared" si="5"/>
        <v>9.373291917935905E-3</v>
      </c>
      <c r="AQ26" s="37">
        <f t="shared" si="6"/>
        <v>55.589999999999989</v>
      </c>
      <c r="AR26" s="8">
        <f t="shared" si="7"/>
        <v>2756.6384117946668</v>
      </c>
      <c r="AS26" s="8">
        <f t="shared" si="8"/>
        <v>219.4693199999999</v>
      </c>
      <c r="AT26" s="3">
        <f t="shared" si="9"/>
        <v>219.75693650000002</v>
      </c>
      <c r="AU26" s="3">
        <f t="shared" si="20"/>
        <v>91.927021444000019</v>
      </c>
      <c r="AV26" s="3">
        <f t="shared" ref="AV26:AV62" si="23">IF($D24&lt;=20,$H$4*($H$10*$H$11*$H$12-$H$13*$H$14*$H$15)*$AQ$25/20,0)</f>
        <v>151.62887140000004</v>
      </c>
      <c r="AW26" s="3">
        <f>IF($D23&lt;=20,$H$4*($H$10*$H$11*$H$12-$H$13*$H$14*$H$15)*$AQ$26/20,0)</f>
        <v>69.028326599999986</v>
      </c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8">
        <f t="shared" si="10"/>
        <v>532.34115594400009</v>
      </c>
      <c r="BY26" s="65">
        <f t="shared" si="11"/>
        <v>2.9291537243549708E-2</v>
      </c>
      <c r="BZ26" s="37">
        <f t="shared" si="12"/>
        <v>111.17999999999998</v>
      </c>
      <c r="CA26" s="8">
        <f t="shared" si="13"/>
        <v>6945.8062410916664</v>
      </c>
      <c r="CB26" s="8">
        <f t="shared" si="14"/>
        <v>438.93863999999979</v>
      </c>
      <c r="CC26" s="3">
        <f t="shared" si="15"/>
        <v>439.51387300000005</v>
      </c>
      <c r="CD26" s="3">
        <f t="shared" si="21"/>
        <v>574.54388402500012</v>
      </c>
      <c r="CE26" s="3">
        <f t="shared" ref="CE26:CE62" si="24">IF($D24&lt;=20,$H$4*($H$10*$H$11*$H$12-$H$13*$H$14*$H$15)*$BZ$25/20,0)</f>
        <v>303.25774280000007</v>
      </c>
      <c r="CF26" s="3">
        <f>IF($D23&lt;=20,$H$4*($H$10*$H$11*$H$12-$H$13*$H$14*$H$15)*$BZ$26/20,0)</f>
        <v>138.05665319999997</v>
      </c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8">
        <f t="shared" si="16"/>
        <v>1455.3721530250002</v>
      </c>
      <c r="DH26" s="65">
        <f t="shared" si="17"/>
        <v>0.13092495642890123</v>
      </c>
    </row>
    <row r="27" spans="4:112" x14ac:dyDescent="0.4">
      <c r="D27" s="9">
        <f t="shared" si="18"/>
        <v>5</v>
      </c>
      <c r="E27" s="9">
        <v>2021</v>
      </c>
      <c r="F27" s="8">
        <v>103532.98038318397</v>
      </c>
      <c r="G27" s="44">
        <v>143.58999999999997</v>
      </c>
      <c r="H27" s="37">
        <f t="shared" si="1"/>
        <v>22.974399999999996</v>
      </c>
      <c r="I27" s="8">
        <f t="shared" si="2"/>
        <v>1061.79455271296</v>
      </c>
      <c r="J27" s="8">
        <f t="shared" ref="J27:J63" si="25">(1.1*$H$5*(1+$H$6)+$H$7*(1+$H$8))*$H$9*$H27</f>
        <v>90.702931199999966</v>
      </c>
      <c r="K27" s="3">
        <f t="shared" si="3"/>
        <v>70.322219680000018</v>
      </c>
      <c r="L27" s="3">
        <f t="shared" si="19"/>
        <v>29.41664686208</v>
      </c>
      <c r="M27" s="3">
        <f t="shared" si="22"/>
        <v>48.521238848000017</v>
      </c>
      <c r="N27" s="3">
        <f t="shared" ref="N27:N62" si="26">IF($D24&lt;=20,$H$4*($H$10*$H$11*$H$12-$H$13*$H$14*$H$15)*$H$26/20,0)</f>
        <v>22.089064511999997</v>
      </c>
      <c r="O27" s="3">
        <f>IF($D23&lt;=20,$H$4*($H$10*$H$11*$H$12-$H$13*$H$14*$H$15)*$H$27/20,0)</f>
        <v>28.528231455999993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8">
        <f t="shared" si="4"/>
        <v>198.87740135808002</v>
      </c>
      <c r="AP27" s="53">
        <f t="shared" si="5"/>
        <v>1.0255616604324266E-2</v>
      </c>
      <c r="AQ27" s="37">
        <f t="shared" si="6"/>
        <v>71.794999999999987</v>
      </c>
      <c r="AR27" s="8">
        <f t="shared" si="7"/>
        <v>3318.1079772279995</v>
      </c>
      <c r="AS27" s="8">
        <f t="shared" si="8"/>
        <v>283.44665999999989</v>
      </c>
      <c r="AT27" s="3">
        <f t="shared" si="9"/>
        <v>219.75693650000002</v>
      </c>
      <c r="AU27" s="3">
        <f t="shared" si="20"/>
        <v>91.927021444000019</v>
      </c>
      <c r="AV27" s="3">
        <f t="shared" si="23"/>
        <v>151.62887140000004</v>
      </c>
      <c r="AW27" s="3">
        <f t="shared" ref="AW27:AW62" si="27">IF($D24&lt;=20,$H$4*($H$10*$H$11*$H$12-$H$13*$H$14*$H$15)*$AQ$26/20,0)</f>
        <v>69.028326599999986</v>
      </c>
      <c r="AX27" s="3">
        <f>IF($D23&lt;=20,$H$4*($H$10*$H$11*$H$12-$H$13*$H$14*$H$15)*$AQ$27/20,0)</f>
        <v>89.150723299999981</v>
      </c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8">
        <f t="shared" si="10"/>
        <v>621.49187924400007</v>
      </c>
      <c r="BY27" s="65">
        <f t="shared" si="11"/>
        <v>3.2048801888513327E-2</v>
      </c>
      <c r="BZ27" s="37">
        <f t="shared" si="12"/>
        <v>143.58999999999997</v>
      </c>
      <c r="CA27" s="8">
        <f t="shared" si="13"/>
        <v>8068.7453719583336</v>
      </c>
      <c r="CB27" s="8">
        <f t="shared" si="14"/>
        <v>566.89331999999979</v>
      </c>
      <c r="CC27" s="3">
        <f t="shared" si="15"/>
        <v>439.51387300000005</v>
      </c>
      <c r="CD27" s="3">
        <f t="shared" si="21"/>
        <v>574.54388402500012</v>
      </c>
      <c r="CE27" s="3">
        <f t="shared" si="24"/>
        <v>303.25774280000007</v>
      </c>
      <c r="CF27" s="3">
        <f t="shared" ref="CF27:CF62" si="28">IF($D24&lt;=20,$H$4*($H$10*$H$11*$H$12-$H$13*$H$14*$H$15)*$BZ$26/20,0)</f>
        <v>138.05665319999997</v>
      </c>
      <c r="CG27" s="3">
        <f>IF($D23&lt;=20,$H$4*($H$10*$H$11*$H$12-$H$13*$H$14*$H$15)*$BZ$27/20,0)</f>
        <v>178.30144659999996</v>
      </c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8">
        <f t="shared" si="16"/>
        <v>1633.6735996250002</v>
      </c>
      <c r="DH27" s="65">
        <f t="shared" si="17"/>
        <v>0.1520917946155535</v>
      </c>
    </row>
    <row r="28" spans="4:112" x14ac:dyDescent="0.4">
      <c r="D28" s="9">
        <f t="shared" si="18"/>
        <v>6</v>
      </c>
      <c r="E28" s="9">
        <f>E27+1</f>
        <v>2022</v>
      </c>
      <c r="F28" s="8">
        <v>111249.76675989408</v>
      </c>
      <c r="G28" s="44">
        <v>36.879999999999995</v>
      </c>
      <c r="H28" s="37">
        <f t="shared" si="1"/>
        <v>5.9007999999999994</v>
      </c>
      <c r="I28" s="8">
        <f t="shared" si="2"/>
        <v>841.50373688362674</v>
      </c>
      <c r="J28" s="8">
        <f t="shared" si="25"/>
        <v>23.296358399999992</v>
      </c>
      <c r="K28" s="3">
        <f t="shared" si="3"/>
        <v>70.322219680000018</v>
      </c>
      <c r="L28" s="3">
        <f t="shared" si="19"/>
        <v>29.41664686208</v>
      </c>
      <c r="M28" s="3">
        <f t="shared" si="22"/>
        <v>48.521238848000017</v>
      </c>
      <c r="N28" s="3">
        <f t="shared" si="26"/>
        <v>22.089064511999997</v>
      </c>
      <c r="O28" s="3">
        <f t="shared" ref="O28:O62" si="29">IF($D24&lt;=20,$H$4*($H$10*$H$11*$H$12-$H$13*$H$14*$H$15)*$H$27/20,0)</f>
        <v>28.528231455999993</v>
      </c>
      <c r="P28" s="3">
        <f>IF($D23&lt;=20,$H$4*($H$10*$H$11*$H$12-$H$13*$H$14*$H$15)*$H$28/20,0)</f>
        <v>7.3272593919999993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8">
        <f t="shared" si="4"/>
        <v>206.20466075008002</v>
      </c>
      <c r="AP28" s="53">
        <f t="shared" si="5"/>
        <v>7.5640943922139683E-3</v>
      </c>
      <c r="AQ28" s="37">
        <f t="shared" si="6"/>
        <v>18.439999999999998</v>
      </c>
      <c r="AR28" s="8">
        <f t="shared" si="7"/>
        <v>2629.6991777613334</v>
      </c>
      <c r="AS28" s="8">
        <f t="shared" si="8"/>
        <v>72.801119999999969</v>
      </c>
      <c r="AT28" s="3">
        <f t="shared" si="9"/>
        <v>219.75693650000002</v>
      </c>
      <c r="AU28" s="3">
        <f t="shared" si="20"/>
        <v>91.927021444000019</v>
      </c>
      <c r="AV28" s="3">
        <f t="shared" si="23"/>
        <v>151.62887140000004</v>
      </c>
      <c r="AW28" s="3">
        <f t="shared" si="27"/>
        <v>69.028326599999986</v>
      </c>
      <c r="AX28" s="3">
        <f t="shared" ref="AX28:AX62" si="30">IF($D24&lt;=20,$H$4*($H$10*$H$11*$H$12-$H$13*$H$14*$H$15)*$AQ$27/20,0)</f>
        <v>89.150723299999981</v>
      </c>
      <c r="AY28" s="3">
        <f>IF($D23&lt;=20,$H$4*($H$10*$H$11*$H$12-$H$13*$H$14*$H$15)*$AQ$28/20,0)</f>
        <v>22.897685599999996</v>
      </c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8">
        <f t="shared" si="10"/>
        <v>644.38956484400012</v>
      </c>
      <c r="BY28" s="65">
        <f t="shared" si="11"/>
        <v>2.363779497566865E-2</v>
      </c>
      <c r="BZ28" s="37">
        <f t="shared" si="12"/>
        <v>36.879999999999995</v>
      </c>
      <c r="CA28" s="8">
        <f t="shared" si="13"/>
        <v>6691.9277730250005</v>
      </c>
      <c r="CB28" s="8">
        <f t="shared" si="14"/>
        <v>145.60223999999994</v>
      </c>
      <c r="CC28" s="3">
        <f t="shared" si="15"/>
        <v>439.51387300000005</v>
      </c>
      <c r="CD28" s="3">
        <f t="shared" si="21"/>
        <v>574.54388402500012</v>
      </c>
      <c r="CE28" s="3">
        <f t="shared" si="24"/>
        <v>303.25774280000007</v>
      </c>
      <c r="CF28" s="3">
        <f t="shared" si="28"/>
        <v>138.05665319999997</v>
      </c>
      <c r="CG28" s="3">
        <f t="shared" ref="CG28:CG62" si="31">IF($D24&lt;=20,$H$4*($H$10*$H$11*$H$12-$H$13*$H$14*$H$15)*$BZ$27/20,0)</f>
        <v>178.30144659999996</v>
      </c>
      <c r="CH28" s="3">
        <f>IF($D23&lt;=20,$H$4*($H$10*$H$11*$H$12-$H$13*$H$14*$H$15)*$BZ$28/20,0)</f>
        <v>45.795371199999991</v>
      </c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8">
        <f t="shared" si="16"/>
        <v>1679.4689708250003</v>
      </c>
      <c r="DH28" s="65">
        <f t="shared" si="17"/>
        <v>0.12613947491442692</v>
      </c>
    </row>
    <row r="29" spans="4:112" x14ac:dyDescent="0.4">
      <c r="D29" s="9">
        <f t="shared" si="18"/>
        <v>7</v>
      </c>
      <c r="E29" s="9">
        <f t="shared" si="18"/>
        <v>2023</v>
      </c>
      <c r="F29" s="8">
        <v>116697.01026614328</v>
      </c>
      <c r="G29" s="44">
        <v>104.38000000000001</v>
      </c>
      <c r="H29" s="37">
        <f t="shared" si="1"/>
        <v>16.700800000000001</v>
      </c>
      <c r="I29" s="8">
        <f t="shared" si="2"/>
        <v>1073.8840586542933</v>
      </c>
      <c r="J29" s="8">
        <f t="shared" si="25"/>
        <v>65.934758399999993</v>
      </c>
      <c r="K29" s="3">
        <f t="shared" si="3"/>
        <v>70.322219680000018</v>
      </c>
      <c r="L29" s="3">
        <f t="shared" si="19"/>
        <v>29.41664686208</v>
      </c>
      <c r="M29" s="3">
        <f t="shared" si="22"/>
        <v>48.521238848000017</v>
      </c>
      <c r="N29" s="3">
        <f t="shared" si="26"/>
        <v>22.089064511999997</v>
      </c>
      <c r="O29" s="3">
        <f t="shared" si="29"/>
        <v>28.528231455999993</v>
      </c>
      <c r="P29" s="3">
        <f t="shared" ref="P29:P62" si="32">IF($D24&lt;=20,$H$4*($H$10*$H$11*$H$12-$H$13*$H$14*$H$15)*$H$28/20,0)</f>
        <v>7.3272593919999993</v>
      </c>
      <c r="Q29" s="3">
        <f>IF($D23&lt;=20,$H$4*($H$10*$H$11*$H$12-$H$13*$H$14*$H$15)*$H$29/20,0)</f>
        <v>20.738051391999999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8">
        <f t="shared" si="4"/>
        <v>226.94271214208001</v>
      </c>
      <c r="AP29" s="53">
        <f t="shared" si="5"/>
        <v>9.2023270879447189E-3</v>
      </c>
      <c r="AQ29" s="37">
        <f t="shared" si="6"/>
        <v>52.190000000000005</v>
      </c>
      <c r="AR29" s="8">
        <f t="shared" si="7"/>
        <v>3355.8876832946671</v>
      </c>
      <c r="AS29" s="8">
        <f t="shared" si="8"/>
        <v>206.04611999999997</v>
      </c>
      <c r="AT29" s="3">
        <f t="shared" si="9"/>
        <v>219.75693650000002</v>
      </c>
      <c r="AU29" s="3">
        <f t="shared" si="20"/>
        <v>91.927021444000019</v>
      </c>
      <c r="AV29" s="3">
        <f t="shared" si="23"/>
        <v>151.62887140000004</v>
      </c>
      <c r="AW29" s="3">
        <f t="shared" si="27"/>
        <v>69.028326599999986</v>
      </c>
      <c r="AX29" s="3">
        <f t="shared" si="30"/>
        <v>89.150723299999981</v>
      </c>
      <c r="AY29" s="3">
        <f t="shared" ref="AY29:AY62" si="33">IF($D24&lt;=20,$H$4*($H$10*$H$11*$H$12-$H$13*$H$14*$H$15)*$AQ$28/20,0)</f>
        <v>22.897685599999996</v>
      </c>
      <c r="AZ29" s="3">
        <f>IF($D23&lt;=20,$H$4*($H$10*$H$11*$H$12-$H$13*$H$14*$H$15)*$AQ$29/20,0)</f>
        <v>64.806410600000007</v>
      </c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8">
        <f t="shared" si="10"/>
        <v>709.19597544400017</v>
      </c>
      <c r="BY29" s="65">
        <f t="shared" si="11"/>
        <v>2.8757272149827255E-2</v>
      </c>
      <c r="BZ29" s="37">
        <f t="shared" si="12"/>
        <v>104.38000000000001</v>
      </c>
      <c r="CA29" s="8">
        <f t="shared" si="13"/>
        <v>8144.304784091667</v>
      </c>
      <c r="CB29" s="8">
        <f t="shared" si="14"/>
        <v>412.09223999999995</v>
      </c>
      <c r="CC29" s="3">
        <f t="shared" si="15"/>
        <v>439.51387300000005</v>
      </c>
      <c r="CD29" s="3">
        <f t="shared" si="21"/>
        <v>574.54388402500012</v>
      </c>
      <c r="CE29" s="3">
        <f t="shared" si="24"/>
        <v>303.25774280000007</v>
      </c>
      <c r="CF29" s="3">
        <f t="shared" si="28"/>
        <v>138.05665319999997</v>
      </c>
      <c r="CG29" s="3">
        <f t="shared" si="31"/>
        <v>178.30144659999996</v>
      </c>
      <c r="CH29" s="3">
        <f t="shared" ref="CH29:CH62" si="34">IF($D24&lt;=20,$H$4*($H$10*$H$11*$H$12-$H$13*$H$14*$H$15)*$BZ$28/20,0)</f>
        <v>45.795371199999991</v>
      </c>
      <c r="CI29" s="3">
        <f>IF($D23&lt;=20,$H$4*($H$10*$H$11*$H$12-$H$13*$H$14*$H$15)*$BZ$29/20,0)</f>
        <v>129.61282120000001</v>
      </c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8">
        <f t="shared" si="16"/>
        <v>1809.0817920250004</v>
      </c>
      <c r="DH29" s="65">
        <f t="shared" si="17"/>
        <v>0.15351605155534903</v>
      </c>
    </row>
    <row r="30" spans="4:112" x14ac:dyDescent="0.4">
      <c r="D30" s="9">
        <f t="shared" si="18"/>
        <v>8</v>
      </c>
      <c r="E30" s="9">
        <f t="shared" si="18"/>
        <v>2024</v>
      </c>
      <c r="F30" s="8">
        <v>108600.46814023529</v>
      </c>
      <c r="G30" s="44">
        <v>39.850000000000016</v>
      </c>
      <c r="H30" s="37">
        <f t="shared" si="1"/>
        <v>6.376000000000003</v>
      </c>
      <c r="I30" s="8">
        <f t="shared" si="2"/>
        <v>953.45247940095999</v>
      </c>
      <c r="J30" s="8">
        <f t="shared" si="25"/>
        <v>25.172448000000006</v>
      </c>
      <c r="K30" s="3">
        <f t="shared" si="3"/>
        <v>70.322219680000018</v>
      </c>
      <c r="L30" s="3">
        <f t="shared" si="19"/>
        <v>29.41664686208</v>
      </c>
      <c r="M30" s="3">
        <f t="shared" si="22"/>
        <v>48.521238848000017</v>
      </c>
      <c r="N30" s="3">
        <f t="shared" si="26"/>
        <v>22.089064511999997</v>
      </c>
      <c r="O30" s="3">
        <f t="shared" si="29"/>
        <v>28.528231455999993</v>
      </c>
      <c r="P30" s="3">
        <f t="shared" si="32"/>
        <v>7.3272593919999993</v>
      </c>
      <c r="Q30" s="3">
        <f t="shared" ref="Q30:Q62" si="35">IF($D24&lt;=20,$H$4*($H$10*$H$11*$H$12-$H$13*$H$14*$H$15)*$H$29/20,0)</f>
        <v>20.738051391999999</v>
      </c>
      <c r="R30" s="3">
        <f>IF($D23&lt;=20,$H$4*($H$10*$H$11*$H$12-$H$13*$H$14*$H$15)*$H$30/20,0)</f>
        <v>7.9173342400000024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8">
        <f t="shared" si="4"/>
        <v>234.86004638208001</v>
      </c>
      <c r="AP30" s="53">
        <f t="shared" si="5"/>
        <v>8.7794509151633785E-3</v>
      </c>
      <c r="AQ30" s="37">
        <f t="shared" si="6"/>
        <v>19.925000000000008</v>
      </c>
      <c r="AR30" s="8">
        <f t="shared" si="7"/>
        <v>2979.5389981280009</v>
      </c>
      <c r="AS30" s="8">
        <f t="shared" si="8"/>
        <v>78.663900000000012</v>
      </c>
      <c r="AT30" s="3">
        <f t="shared" si="9"/>
        <v>219.75693650000002</v>
      </c>
      <c r="AU30" s="3">
        <f t="shared" si="20"/>
        <v>91.927021444000019</v>
      </c>
      <c r="AV30" s="3">
        <f t="shared" si="23"/>
        <v>151.62887140000004</v>
      </c>
      <c r="AW30" s="3">
        <f t="shared" si="27"/>
        <v>69.028326599999986</v>
      </c>
      <c r="AX30" s="3">
        <f t="shared" si="30"/>
        <v>89.150723299999981</v>
      </c>
      <c r="AY30" s="3">
        <f t="shared" si="33"/>
        <v>22.897685599999996</v>
      </c>
      <c r="AZ30" s="3">
        <f t="shared" ref="AZ30:AZ62" si="36">IF($D24&lt;=20,$H$4*($H$10*$H$11*$H$12-$H$13*$H$14*$H$15)*$AQ$29/20,0)</f>
        <v>64.806410600000007</v>
      </c>
      <c r="BA30" s="3">
        <f>IF($D23&lt;=20,$H$4*($H$10*$H$11*$H$12-$H$13*$H$14*$H$15)*$AQ$30/20,0)</f>
        <v>24.741669500000008</v>
      </c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8">
        <f t="shared" si="10"/>
        <v>733.93764494400023</v>
      </c>
      <c r="BY30" s="65">
        <f t="shared" si="11"/>
        <v>2.7435784109885567E-2</v>
      </c>
      <c r="BZ30" s="37">
        <f t="shared" si="12"/>
        <v>39.850000000000016</v>
      </c>
      <c r="CA30" s="8">
        <f t="shared" si="13"/>
        <v>7391.6074137583346</v>
      </c>
      <c r="CB30" s="8">
        <f t="shared" si="14"/>
        <v>157.32780000000002</v>
      </c>
      <c r="CC30" s="3">
        <f t="shared" si="15"/>
        <v>439.51387300000005</v>
      </c>
      <c r="CD30" s="3">
        <f t="shared" si="21"/>
        <v>574.54388402500012</v>
      </c>
      <c r="CE30" s="3">
        <f t="shared" si="24"/>
        <v>303.25774280000007</v>
      </c>
      <c r="CF30" s="3">
        <f t="shared" si="28"/>
        <v>138.05665319999997</v>
      </c>
      <c r="CG30" s="3">
        <f t="shared" si="31"/>
        <v>178.30144659999996</v>
      </c>
      <c r="CH30" s="3">
        <f t="shared" si="34"/>
        <v>45.795371199999991</v>
      </c>
      <c r="CI30" s="3">
        <f t="shared" ref="CI30:CI62" si="37">IF($D24&lt;=20,$H$4*($H$10*$H$11*$H$12-$H$13*$H$14*$H$15)*$BZ$29/20,0)</f>
        <v>129.61282120000001</v>
      </c>
      <c r="CJ30" s="3">
        <f>IF($D23&lt;=20,$H$4*($H$10*$H$11*$H$12-$H$13*$H$14*$H$15)*$BZ$30/20,0)</f>
        <v>49.483339000000015</v>
      </c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8">
        <f t="shared" si="16"/>
        <v>1858.5651310250005</v>
      </c>
      <c r="DH30" s="65">
        <f t="shared" si="17"/>
        <v>0.13932808445773079</v>
      </c>
    </row>
    <row r="31" spans="4:112" x14ac:dyDescent="0.4">
      <c r="D31" s="9">
        <f t="shared" si="18"/>
        <v>9</v>
      </c>
      <c r="E31" s="9">
        <f t="shared" si="18"/>
        <v>2025</v>
      </c>
      <c r="F31" s="8">
        <v>52520.555999999997</v>
      </c>
      <c r="G31" s="44">
        <v>62.52</v>
      </c>
      <c r="H31" s="37">
        <f t="shared" si="1"/>
        <v>10.003200000000001</v>
      </c>
      <c r="I31" s="8">
        <f t="shared" si="2"/>
        <v>1051.5048630169599</v>
      </c>
      <c r="J31" s="8">
        <f t="shared" si="25"/>
        <v>39.492633599999998</v>
      </c>
      <c r="K31" s="3">
        <f t="shared" si="3"/>
        <v>70.322219680000018</v>
      </c>
      <c r="L31" s="3">
        <f t="shared" si="19"/>
        <v>29.41664686208</v>
      </c>
      <c r="M31" s="3">
        <f t="shared" si="22"/>
        <v>48.521238848000017</v>
      </c>
      <c r="N31" s="3">
        <f t="shared" si="26"/>
        <v>22.089064511999997</v>
      </c>
      <c r="O31" s="3">
        <f t="shared" si="29"/>
        <v>28.528231455999993</v>
      </c>
      <c r="P31" s="3">
        <f t="shared" si="32"/>
        <v>7.3272593919999993</v>
      </c>
      <c r="Q31" s="3">
        <f t="shared" si="35"/>
        <v>20.738051391999999</v>
      </c>
      <c r="R31" s="3">
        <f t="shared" ref="R31:R62" si="38">IF($D24&lt;=20,$H$4*($H$10*$H$11*$H$12-$H$13*$H$14*$H$15)*$H$30/20,0)</f>
        <v>7.9173342400000024</v>
      </c>
      <c r="S31" s="3">
        <f>IF($D23&lt;=20,$H$4*($H$10*$H$11*$H$12-$H$13*$H$14*$H$15)*$H$31/20,0)</f>
        <v>12.421373568000002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8">
        <f t="shared" si="4"/>
        <v>247.28141995008002</v>
      </c>
      <c r="AP31" s="53">
        <f t="shared" si="5"/>
        <v>2.002082504642487E-2</v>
      </c>
      <c r="AQ31" s="37">
        <f t="shared" si="6"/>
        <v>31.26</v>
      </c>
      <c r="AR31" s="8">
        <f t="shared" si="7"/>
        <v>3285.9526969280009</v>
      </c>
      <c r="AS31" s="8">
        <f t="shared" si="8"/>
        <v>123.41447999999998</v>
      </c>
      <c r="AT31" s="3">
        <f t="shared" si="9"/>
        <v>219.75693650000002</v>
      </c>
      <c r="AU31" s="3">
        <f t="shared" si="20"/>
        <v>91.927021444000019</v>
      </c>
      <c r="AV31" s="3">
        <f t="shared" si="23"/>
        <v>151.62887140000004</v>
      </c>
      <c r="AW31" s="3">
        <f t="shared" si="27"/>
        <v>69.028326599999986</v>
      </c>
      <c r="AX31" s="3">
        <f t="shared" si="30"/>
        <v>89.150723299999981</v>
      </c>
      <c r="AY31" s="3">
        <f t="shared" si="33"/>
        <v>22.897685599999996</v>
      </c>
      <c r="AZ31" s="3">
        <f t="shared" si="36"/>
        <v>64.806410600000007</v>
      </c>
      <c r="BA31" s="3">
        <f t="shared" ref="BA31:BA62" si="39">IF($D24&lt;=20,$H$4*($H$10*$H$11*$H$12-$H$13*$H$14*$H$15)*$AQ$30/20,0)</f>
        <v>24.741669500000008</v>
      </c>
      <c r="BB31" s="3">
        <f>IF($D23&lt;=20,$H$4*($H$10*$H$11*$H$12-$H$13*$H$14*$H$15)*$AQ$31/20,0)</f>
        <v>38.816792399999997</v>
      </c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8">
        <f t="shared" si="10"/>
        <v>772.75443734400028</v>
      </c>
      <c r="BY31" s="65">
        <f t="shared" si="11"/>
        <v>6.2565078270077748E-2</v>
      </c>
      <c r="BZ31" s="37">
        <f t="shared" si="12"/>
        <v>62.52</v>
      </c>
      <c r="CA31" s="8">
        <f t="shared" si="13"/>
        <v>8004.4348113583337</v>
      </c>
      <c r="CB31" s="8">
        <f t="shared" si="14"/>
        <v>246.82895999999997</v>
      </c>
      <c r="CC31" s="3">
        <f t="shared" si="15"/>
        <v>439.51387300000005</v>
      </c>
      <c r="CD31" s="3">
        <f t="shared" si="21"/>
        <v>574.54388402500012</v>
      </c>
      <c r="CE31" s="3">
        <f t="shared" si="24"/>
        <v>303.25774280000007</v>
      </c>
      <c r="CF31" s="3">
        <f t="shared" si="28"/>
        <v>138.05665319999997</v>
      </c>
      <c r="CG31" s="3">
        <f t="shared" si="31"/>
        <v>178.30144659999996</v>
      </c>
      <c r="CH31" s="3">
        <f t="shared" si="34"/>
        <v>45.795371199999991</v>
      </c>
      <c r="CI31" s="3">
        <f t="shared" si="37"/>
        <v>129.61282120000001</v>
      </c>
      <c r="CJ31" s="3">
        <f t="shared" ref="CJ31:CJ62" si="40">IF($D24&lt;=20,$H$4*($H$10*$H$11*$H$12-$H$13*$H$14*$H$15)*$BZ$30/20,0)</f>
        <v>49.483339000000015</v>
      </c>
      <c r="CK31" s="3">
        <f>IF($D23&lt;=20,$H$4*($H$10*$H$11*$H$12-$H$13*$H$14*$H$15)*$BZ$31/20,0)</f>
        <v>77.633584799999994</v>
      </c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8">
        <f t="shared" si="16"/>
        <v>1936.1987158250004</v>
      </c>
      <c r="DH31" s="65">
        <f t="shared" si="17"/>
        <v>0.15087957287307802</v>
      </c>
    </row>
    <row r="32" spans="4:112" x14ac:dyDescent="0.4">
      <c r="D32" s="9">
        <f t="shared" si="18"/>
        <v>10</v>
      </c>
      <c r="E32" s="9">
        <f t="shared" si="18"/>
        <v>2026</v>
      </c>
      <c r="F32" s="8">
        <v>78290.518688898417</v>
      </c>
      <c r="G32" s="44">
        <v>300</v>
      </c>
      <c r="H32" s="37">
        <f t="shared" si="1"/>
        <v>48</v>
      </c>
      <c r="I32" s="8">
        <f t="shared" si="2"/>
        <v>1820.0927798169598</v>
      </c>
      <c r="J32" s="8">
        <f t="shared" si="25"/>
        <v>189.50399999999996</v>
      </c>
      <c r="K32" s="3">
        <f t="shared" si="3"/>
        <v>70.322219680000018</v>
      </c>
      <c r="L32" s="3">
        <f t="shared" si="19"/>
        <v>29.41664686208</v>
      </c>
      <c r="M32" s="3">
        <f t="shared" si="22"/>
        <v>48.521238848000017</v>
      </c>
      <c r="N32" s="3">
        <f t="shared" si="26"/>
        <v>22.089064511999997</v>
      </c>
      <c r="O32" s="3">
        <f t="shared" si="29"/>
        <v>28.528231455999993</v>
      </c>
      <c r="P32" s="3">
        <f t="shared" si="32"/>
        <v>7.3272593919999993</v>
      </c>
      <c r="Q32" s="3">
        <f t="shared" si="35"/>
        <v>20.738051391999999</v>
      </c>
      <c r="R32" s="3">
        <f t="shared" si="38"/>
        <v>7.9173342400000024</v>
      </c>
      <c r="S32" s="3">
        <f t="shared" ref="S32:S62" si="41">IF($D24&lt;=20,$H$4*($H$10*$H$11*$H$12-$H$13*$H$14*$H$15)*$H$31/20,0)</f>
        <v>12.421373568000002</v>
      </c>
      <c r="T32" s="3">
        <f>IF($D23&lt;=20,$H$4*($H$10*$H$11*$H$12-$H$13*$H$14*$H$15)*$H$32/20,0)</f>
        <v>59.603519999999989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8">
        <f t="shared" si="4"/>
        <v>306.88493995008002</v>
      </c>
      <c r="AP32" s="53">
        <f t="shared" si="5"/>
        <v>2.3247933597801654E-2</v>
      </c>
      <c r="AQ32" s="37">
        <f t="shared" si="6"/>
        <v>150</v>
      </c>
      <c r="AR32" s="8">
        <f t="shared" si="7"/>
        <v>5687.7899369280003</v>
      </c>
      <c r="AS32" s="8">
        <f t="shared" si="8"/>
        <v>592.19999999999982</v>
      </c>
      <c r="AT32" s="3">
        <f t="shared" si="9"/>
        <v>219.75693650000002</v>
      </c>
      <c r="AU32" s="3">
        <f t="shared" si="20"/>
        <v>91.927021444000019</v>
      </c>
      <c r="AV32" s="3">
        <f t="shared" si="23"/>
        <v>151.62887140000004</v>
      </c>
      <c r="AW32" s="3">
        <f t="shared" si="27"/>
        <v>69.028326599999986</v>
      </c>
      <c r="AX32" s="3">
        <f t="shared" si="30"/>
        <v>89.150723299999981</v>
      </c>
      <c r="AY32" s="3">
        <f t="shared" si="33"/>
        <v>22.897685599999996</v>
      </c>
      <c r="AZ32" s="3">
        <f t="shared" si="36"/>
        <v>64.806410600000007</v>
      </c>
      <c r="BA32" s="3">
        <f t="shared" si="39"/>
        <v>24.741669500000008</v>
      </c>
      <c r="BB32" s="3">
        <f t="shared" ref="BB32:BB62" si="42">IF($D24&lt;=20,$H$4*($H$10*$H$11*$H$12-$H$13*$H$14*$H$15)*$AQ$31/20,0)</f>
        <v>38.816792399999997</v>
      </c>
      <c r="BC32" s="3">
        <f>IF($D23&lt;=20,$H$4*($H$10*$H$11*$H$12-$H$13*$H$14*$H$15)*$AQ$32/20,0)</f>
        <v>186.261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8">
        <f t="shared" si="10"/>
        <v>959.01543734400025</v>
      </c>
      <c r="BY32" s="65">
        <f t="shared" si="11"/>
        <v>7.264979249313018E-2</v>
      </c>
      <c r="BZ32" s="37">
        <f t="shared" si="12"/>
        <v>300</v>
      </c>
      <c r="CA32" s="8">
        <f t="shared" si="13"/>
        <v>12808.109291358332</v>
      </c>
      <c r="CB32" s="8">
        <f t="shared" si="14"/>
        <v>1184.3999999999996</v>
      </c>
      <c r="CC32" s="3">
        <f t="shared" si="15"/>
        <v>439.51387300000005</v>
      </c>
      <c r="CD32" s="3">
        <f t="shared" si="21"/>
        <v>574.54388402500012</v>
      </c>
      <c r="CE32" s="3">
        <f t="shared" si="24"/>
        <v>303.25774280000007</v>
      </c>
      <c r="CF32" s="3">
        <f t="shared" si="28"/>
        <v>138.05665319999997</v>
      </c>
      <c r="CG32" s="3">
        <f t="shared" si="31"/>
        <v>178.30144659999996</v>
      </c>
      <c r="CH32" s="3">
        <f t="shared" si="34"/>
        <v>45.795371199999991</v>
      </c>
      <c r="CI32" s="3">
        <f t="shared" si="37"/>
        <v>129.61282120000001</v>
      </c>
      <c r="CJ32" s="3">
        <f t="shared" si="40"/>
        <v>49.483339000000015</v>
      </c>
      <c r="CK32" s="3">
        <f t="shared" ref="CK32:CK62" si="43">IF($D24&lt;=20,$H$4*($H$10*$H$11*$H$12-$H$13*$H$14*$H$15)*$BZ$31/20,0)</f>
        <v>77.633584799999994</v>
      </c>
      <c r="CL32" s="3">
        <f>IF($D23&lt;=20,$H$4*($H$10*$H$11*$H$12-$H$13*$H$14*$H$15)*$BZ$32/20,0)</f>
        <v>372.52199999999999</v>
      </c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8">
        <f t="shared" si="16"/>
        <v>2308.7207158250003</v>
      </c>
      <c r="DH32" s="65">
        <f t="shared" si="17"/>
        <v>0.24142642231899311</v>
      </c>
    </row>
    <row r="33" spans="4:112" x14ac:dyDescent="0.4">
      <c r="D33" s="9">
        <f t="shared" si="18"/>
        <v>11</v>
      </c>
      <c r="E33" s="9">
        <f t="shared" si="18"/>
        <v>2027</v>
      </c>
      <c r="F33" s="8">
        <v>54280.555999999997</v>
      </c>
      <c r="G33" s="44">
        <v>300</v>
      </c>
      <c r="H33" s="37">
        <f t="shared" si="1"/>
        <v>48</v>
      </c>
      <c r="I33" s="8">
        <f t="shared" si="2"/>
        <v>2038.6390198169602</v>
      </c>
      <c r="J33" s="8">
        <f t="shared" si="25"/>
        <v>189.50399999999996</v>
      </c>
      <c r="K33" s="3">
        <f t="shared" si="3"/>
        <v>70.322219680000018</v>
      </c>
      <c r="L33" s="3">
        <f t="shared" si="19"/>
        <v>29.41664686208</v>
      </c>
      <c r="M33" s="3">
        <f t="shared" si="22"/>
        <v>48.521238848000017</v>
      </c>
      <c r="N33" s="3">
        <f t="shared" si="26"/>
        <v>22.089064511999997</v>
      </c>
      <c r="O33" s="3">
        <f t="shared" si="29"/>
        <v>28.528231455999993</v>
      </c>
      <c r="P33" s="3">
        <f t="shared" si="32"/>
        <v>7.3272593919999993</v>
      </c>
      <c r="Q33" s="3">
        <f t="shared" si="35"/>
        <v>20.738051391999999</v>
      </c>
      <c r="R33" s="3">
        <f t="shared" si="38"/>
        <v>7.9173342400000024</v>
      </c>
      <c r="S33" s="3">
        <f t="shared" si="41"/>
        <v>12.421373568000002</v>
      </c>
      <c r="T33" s="3">
        <f t="shared" ref="T33:T62" si="44">IF($D24&lt;=20,$H$4*($H$10*$H$11*$H$12-$H$13*$H$14*$H$15)*$H$32/20,0)</f>
        <v>59.603519999999989</v>
      </c>
      <c r="U33" s="3">
        <f>IF($D23&lt;=20,$H$4*($H$10*$H$11*$H$12-$H$13*$H$14*$H$15)*$H$33/20,0)</f>
        <v>59.603519999999989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8">
        <f t="shared" si="4"/>
        <v>366.48845995008003</v>
      </c>
      <c r="AP33" s="53">
        <f t="shared" si="5"/>
        <v>3.7557445428837544E-2</v>
      </c>
      <c r="AQ33" s="37">
        <f t="shared" si="6"/>
        <v>150</v>
      </c>
      <c r="AR33" s="8">
        <f t="shared" si="7"/>
        <v>6370.7469369279997</v>
      </c>
      <c r="AS33" s="8">
        <f t="shared" si="8"/>
        <v>592.19999999999982</v>
      </c>
      <c r="AT33" s="3">
        <f t="shared" si="9"/>
        <v>219.75693650000002</v>
      </c>
      <c r="AU33" s="3">
        <f t="shared" si="20"/>
        <v>91.927021444000019</v>
      </c>
      <c r="AV33" s="3">
        <f t="shared" si="23"/>
        <v>151.62887140000004</v>
      </c>
      <c r="AW33" s="3">
        <f t="shared" si="27"/>
        <v>69.028326599999986</v>
      </c>
      <c r="AX33" s="3">
        <f t="shared" si="30"/>
        <v>89.150723299999981</v>
      </c>
      <c r="AY33" s="3">
        <f t="shared" si="33"/>
        <v>22.897685599999996</v>
      </c>
      <c r="AZ33" s="3">
        <f t="shared" si="36"/>
        <v>64.806410600000007</v>
      </c>
      <c r="BA33" s="3">
        <f t="shared" si="39"/>
        <v>24.741669500000008</v>
      </c>
      <c r="BB33" s="3">
        <f t="shared" si="42"/>
        <v>38.816792399999997</v>
      </c>
      <c r="BC33" s="3">
        <f t="shared" ref="BC33:BC62" si="45">IF($D24&lt;=20,$H$4*($H$10*$H$11*$H$12-$H$13*$H$14*$H$15)*$AQ$32/20,0)</f>
        <v>186.261</v>
      </c>
      <c r="BD33" s="3">
        <f>IF($D23&lt;=20,$H$4*($H$10*$H$11*$H$12-$H$13*$H$14*$H$15)*$AQ$33/20,0)</f>
        <v>186.261</v>
      </c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8">
        <f t="shared" si="10"/>
        <v>1145.2764373440002</v>
      </c>
      <c r="BY33" s="65">
        <f t="shared" si="11"/>
        <v>0.11736701696511731</v>
      </c>
      <c r="BZ33" s="37">
        <f t="shared" si="12"/>
        <v>300</v>
      </c>
      <c r="CA33" s="8">
        <f t="shared" si="13"/>
        <v>14174.023291358333</v>
      </c>
      <c r="CB33" s="8">
        <f t="shared" si="14"/>
        <v>1184.3999999999996</v>
      </c>
      <c r="CC33" s="3">
        <f t="shared" si="15"/>
        <v>439.51387300000005</v>
      </c>
      <c r="CD33" s="3">
        <f t="shared" si="21"/>
        <v>574.54388402500012</v>
      </c>
      <c r="CE33" s="3">
        <f t="shared" si="24"/>
        <v>303.25774280000007</v>
      </c>
      <c r="CF33" s="3">
        <f t="shared" si="28"/>
        <v>138.05665319999997</v>
      </c>
      <c r="CG33" s="3">
        <f t="shared" si="31"/>
        <v>178.30144659999996</v>
      </c>
      <c r="CH33" s="3">
        <f t="shared" si="34"/>
        <v>45.795371199999991</v>
      </c>
      <c r="CI33" s="3">
        <f t="shared" si="37"/>
        <v>129.61282120000001</v>
      </c>
      <c r="CJ33" s="3">
        <f t="shared" si="40"/>
        <v>49.483339000000015</v>
      </c>
      <c r="CK33" s="3">
        <f t="shared" si="43"/>
        <v>77.633584799999994</v>
      </c>
      <c r="CL33" s="3">
        <f t="shared" ref="CL33:CL62" si="46">IF($D24&lt;=20,$H$4*($H$10*$H$11*$H$12-$H$13*$H$14*$H$15)*$BZ$32/20,0)</f>
        <v>372.52199999999999</v>
      </c>
      <c r="CM33" s="3">
        <f>IF($D23&lt;=20,$H$4*($H$10*$H$11*$H$12-$H$13*$H$14*$H$15)*$BZ$33/20,0)</f>
        <v>372.52199999999999</v>
      </c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8">
        <f t="shared" si="16"/>
        <v>2681.2427158250002</v>
      </c>
      <c r="DH33" s="65">
        <f t="shared" si="17"/>
        <v>0.26717321466077304</v>
      </c>
    </row>
    <row r="34" spans="4:112" x14ac:dyDescent="0.4">
      <c r="D34" s="9">
        <f t="shared" si="18"/>
        <v>12</v>
      </c>
      <c r="E34" s="9">
        <f t="shared" si="18"/>
        <v>2028</v>
      </c>
      <c r="F34" s="8">
        <v>136201.40162362184</v>
      </c>
      <c r="G34" s="44">
        <v>300</v>
      </c>
      <c r="H34" s="37">
        <f t="shared" si="1"/>
        <v>48</v>
      </c>
      <c r="I34" s="8">
        <f t="shared" si="2"/>
        <v>2257.1852598169598</v>
      </c>
      <c r="J34" s="8">
        <f t="shared" si="25"/>
        <v>189.50399999999996</v>
      </c>
      <c r="K34" s="3">
        <f t="shared" si="3"/>
        <v>70.322219680000018</v>
      </c>
      <c r="L34" s="3">
        <f t="shared" si="19"/>
        <v>29.41664686208</v>
      </c>
      <c r="M34" s="3">
        <f t="shared" si="22"/>
        <v>48.521238848000017</v>
      </c>
      <c r="N34" s="3">
        <f t="shared" si="26"/>
        <v>22.089064511999997</v>
      </c>
      <c r="O34" s="3">
        <f t="shared" si="29"/>
        <v>28.528231455999993</v>
      </c>
      <c r="P34" s="3">
        <f t="shared" si="32"/>
        <v>7.3272593919999993</v>
      </c>
      <c r="Q34" s="3">
        <f t="shared" si="35"/>
        <v>20.738051391999999</v>
      </c>
      <c r="R34" s="3">
        <f t="shared" si="38"/>
        <v>7.9173342400000024</v>
      </c>
      <c r="S34" s="3">
        <f t="shared" si="41"/>
        <v>12.421373568000002</v>
      </c>
      <c r="T34" s="3">
        <f t="shared" si="44"/>
        <v>59.603519999999989</v>
      </c>
      <c r="U34" s="3">
        <f t="shared" ref="U34:U62" si="47">IF($D24&lt;=20,$H$4*($H$10*$H$11*$H$12-$H$13*$H$14*$H$15)*$H$33/20,0)</f>
        <v>59.603519999999989</v>
      </c>
      <c r="V34" s="3">
        <f>IF($D23&lt;=20,$H$4*($H$10*$H$11*$H$12-$H$13*$H$14*$H$15)*$H$34/20,0)</f>
        <v>59.603519999999989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8">
        <f t="shared" si="4"/>
        <v>426.09197995008003</v>
      </c>
      <c r="AP34" s="53">
        <f t="shared" si="5"/>
        <v>1.6572408454756233E-2</v>
      </c>
      <c r="AQ34" s="37">
        <f t="shared" si="6"/>
        <v>150</v>
      </c>
      <c r="AR34" s="8">
        <f t="shared" si="7"/>
        <v>7053.7039369280001</v>
      </c>
      <c r="AS34" s="8">
        <f t="shared" si="8"/>
        <v>592.19999999999982</v>
      </c>
      <c r="AT34" s="3">
        <f t="shared" si="9"/>
        <v>219.75693650000002</v>
      </c>
      <c r="AU34" s="3">
        <f t="shared" si="20"/>
        <v>91.927021444000019</v>
      </c>
      <c r="AV34" s="3">
        <f t="shared" si="23"/>
        <v>151.62887140000004</v>
      </c>
      <c r="AW34" s="3">
        <f t="shared" si="27"/>
        <v>69.028326599999986</v>
      </c>
      <c r="AX34" s="3">
        <f t="shared" si="30"/>
        <v>89.150723299999981</v>
      </c>
      <c r="AY34" s="3">
        <f t="shared" si="33"/>
        <v>22.897685599999996</v>
      </c>
      <c r="AZ34" s="3">
        <f t="shared" si="36"/>
        <v>64.806410600000007</v>
      </c>
      <c r="BA34" s="3">
        <f t="shared" si="39"/>
        <v>24.741669500000008</v>
      </c>
      <c r="BB34" s="3">
        <f t="shared" si="42"/>
        <v>38.816792399999997</v>
      </c>
      <c r="BC34" s="3">
        <f t="shared" si="45"/>
        <v>186.261</v>
      </c>
      <c r="BD34" s="3">
        <f t="shared" ref="BD34:BD62" si="48">IF($D24&lt;=20,$H$4*($H$10*$H$11*$H$12-$H$13*$H$14*$H$15)*$AQ$33/20,0)</f>
        <v>186.261</v>
      </c>
      <c r="BE34" s="3">
        <f>IF($D23&lt;=20,$H$4*($H$10*$H$11*$H$12-$H$13*$H$14*$H$15)*$AQ$34/20,0)</f>
        <v>186.261</v>
      </c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8">
        <f t="shared" si="10"/>
        <v>1331.5374373440002</v>
      </c>
      <c r="BY34" s="65">
        <f t="shared" si="11"/>
        <v>5.1788776421113229E-2</v>
      </c>
      <c r="BZ34" s="37">
        <f t="shared" si="12"/>
        <v>300</v>
      </c>
      <c r="CA34" s="8">
        <f t="shared" si="13"/>
        <v>15539.937291358332</v>
      </c>
      <c r="CB34" s="8">
        <f t="shared" si="14"/>
        <v>1184.3999999999996</v>
      </c>
      <c r="CC34" s="3">
        <f t="shared" si="15"/>
        <v>439.51387300000005</v>
      </c>
      <c r="CD34" s="3">
        <f t="shared" si="21"/>
        <v>574.54388402500012</v>
      </c>
      <c r="CE34" s="3">
        <f t="shared" si="24"/>
        <v>303.25774280000007</v>
      </c>
      <c r="CF34" s="3">
        <f t="shared" si="28"/>
        <v>138.05665319999997</v>
      </c>
      <c r="CG34" s="3">
        <f t="shared" si="31"/>
        <v>178.30144659999996</v>
      </c>
      <c r="CH34" s="3">
        <f t="shared" si="34"/>
        <v>45.795371199999991</v>
      </c>
      <c r="CI34" s="3">
        <f t="shared" si="37"/>
        <v>129.61282120000001</v>
      </c>
      <c r="CJ34" s="3">
        <f t="shared" si="40"/>
        <v>49.483339000000015</v>
      </c>
      <c r="CK34" s="3">
        <f t="shared" si="43"/>
        <v>77.633584799999994</v>
      </c>
      <c r="CL34" s="3">
        <f t="shared" si="46"/>
        <v>372.52199999999999</v>
      </c>
      <c r="CM34" s="3">
        <f t="shared" ref="CM34:CM62" si="49">IF($D24&lt;=20,$H$4*($H$10*$H$11*$H$12-$H$13*$H$14*$H$15)*$BZ$33/20,0)</f>
        <v>372.52199999999999</v>
      </c>
      <c r="CN34" s="3">
        <f>IF($D23&lt;=20,$H$4*($H$10*$H$11*$H$12-$H$13*$H$14*$H$15)*$BZ$34/20,0)</f>
        <v>372.52199999999999</v>
      </c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8">
        <f t="shared" si="16"/>
        <v>3053.7647158250002</v>
      </c>
      <c r="DH34" s="65">
        <f t="shared" si="17"/>
        <v>0.292920007002553</v>
      </c>
    </row>
    <row r="35" spans="4:112" x14ac:dyDescent="0.4">
      <c r="D35" s="9">
        <f t="shared" si="18"/>
        <v>13</v>
      </c>
      <c r="E35" s="9">
        <f t="shared" si="18"/>
        <v>2029</v>
      </c>
      <c r="F35" s="8">
        <v>123875.37474326322</v>
      </c>
      <c r="G35" s="44">
        <v>300</v>
      </c>
      <c r="H35" s="37">
        <f t="shared" si="1"/>
        <v>48</v>
      </c>
      <c r="I35" s="8">
        <f t="shared" si="2"/>
        <v>2475.73149981696</v>
      </c>
      <c r="J35" s="8">
        <f t="shared" si="25"/>
        <v>189.50399999999996</v>
      </c>
      <c r="K35" s="3">
        <f t="shared" si="3"/>
        <v>70.322219680000018</v>
      </c>
      <c r="L35" s="3">
        <f t="shared" si="19"/>
        <v>29.41664686208</v>
      </c>
      <c r="M35" s="3">
        <f t="shared" si="22"/>
        <v>48.521238848000017</v>
      </c>
      <c r="N35" s="3">
        <f t="shared" si="26"/>
        <v>22.089064511999997</v>
      </c>
      <c r="O35" s="3">
        <f t="shared" si="29"/>
        <v>28.528231455999993</v>
      </c>
      <c r="P35" s="3">
        <f t="shared" si="32"/>
        <v>7.3272593919999993</v>
      </c>
      <c r="Q35" s="3">
        <f t="shared" si="35"/>
        <v>20.738051391999999</v>
      </c>
      <c r="R35" s="3">
        <f t="shared" si="38"/>
        <v>7.9173342400000024</v>
      </c>
      <c r="S35" s="3">
        <f t="shared" si="41"/>
        <v>12.421373568000002</v>
      </c>
      <c r="T35" s="3">
        <f t="shared" si="44"/>
        <v>59.603519999999989</v>
      </c>
      <c r="U35" s="3">
        <f t="shared" si="47"/>
        <v>59.603519999999989</v>
      </c>
      <c r="V35" s="3">
        <f t="shared" ref="V35:V62" si="50">IF($D24&lt;=20,$H$4*($H$10*$H$11*$H$12-$H$13*$H$14*$H$15)*$H$34/20,0)</f>
        <v>59.603519999999989</v>
      </c>
      <c r="W35" s="3">
        <f>IF($D23&lt;=20,$H$4*($H$10*$H$11*$H$12-$H$13*$H$14*$H$15)*$H$35/20,0)</f>
        <v>59.603519999999989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8">
        <f t="shared" si="4"/>
        <v>485.69549995008003</v>
      </c>
      <c r="AP35" s="53">
        <f t="shared" si="5"/>
        <v>1.9985663050045375E-2</v>
      </c>
      <c r="AQ35" s="37">
        <f t="shared" si="6"/>
        <v>150</v>
      </c>
      <c r="AR35" s="8">
        <f t="shared" si="7"/>
        <v>7736.6609369280004</v>
      </c>
      <c r="AS35" s="8">
        <f t="shared" si="8"/>
        <v>592.19999999999982</v>
      </c>
      <c r="AT35" s="3">
        <f t="shared" si="9"/>
        <v>219.75693650000002</v>
      </c>
      <c r="AU35" s="3">
        <f t="shared" si="20"/>
        <v>91.927021444000019</v>
      </c>
      <c r="AV35" s="3">
        <f t="shared" si="23"/>
        <v>151.62887140000004</v>
      </c>
      <c r="AW35" s="3">
        <f t="shared" si="27"/>
        <v>69.028326599999986</v>
      </c>
      <c r="AX35" s="3">
        <f t="shared" si="30"/>
        <v>89.150723299999981</v>
      </c>
      <c r="AY35" s="3">
        <f t="shared" si="33"/>
        <v>22.897685599999996</v>
      </c>
      <c r="AZ35" s="3">
        <f t="shared" si="36"/>
        <v>64.806410600000007</v>
      </c>
      <c r="BA35" s="3">
        <f t="shared" si="39"/>
        <v>24.741669500000008</v>
      </c>
      <c r="BB35" s="3">
        <f t="shared" si="42"/>
        <v>38.816792399999997</v>
      </c>
      <c r="BC35" s="3">
        <f t="shared" si="45"/>
        <v>186.261</v>
      </c>
      <c r="BD35" s="3">
        <f t="shared" si="48"/>
        <v>186.261</v>
      </c>
      <c r="BE35" s="3">
        <f t="shared" ref="BE35:BE62" si="51">IF($D24&lt;=20,$H$4*($H$10*$H$11*$H$12-$H$13*$H$14*$H$15)*$AQ$34/20,0)</f>
        <v>186.261</v>
      </c>
      <c r="BF35" s="3">
        <f>IF($D23&lt;=20,$H$4*($H$10*$H$11*$H$12-$H$13*$H$14*$H$15)*$AQ$35/20,0)</f>
        <v>186.261</v>
      </c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8">
        <f t="shared" si="10"/>
        <v>1517.7984373440001</v>
      </c>
      <c r="BY35" s="65">
        <f t="shared" si="11"/>
        <v>6.2455197031391803E-2</v>
      </c>
      <c r="BZ35" s="37">
        <f t="shared" si="12"/>
        <v>300</v>
      </c>
      <c r="CA35" s="8">
        <f t="shared" si="13"/>
        <v>16905.851291358333</v>
      </c>
      <c r="CB35" s="8">
        <f t="shared" si="14"/>
        <v>1184.3999999999996</v>
      </c>
      <c r="CC35" s="3">
        <f t="shared" si="15"/>
        <v>439.51387300000005</v>
      </c>
      <c r="CD35" s="3">
        <f t="shared" si="21"/>
        <v>574.54388402500012</v>
      </c>
      <c r="CE35" s="3">
        <f t="shared" si="24"/>
        <v>303.25774280000007</v>
      </c>
      <c r="CF35" s="3">
        <f t="shared" si="28"/>
        <v>138.05665319999997</v>
      </c>
      <c r="CG35" s="3">
        <f t="shared" si="31"/>
        <v>178.30144659999996</v>
      </c>
      <c r="CH35" s="3">
        <f t="shared" si="34"/>
        <v>45.795371199999991</v>
      </c>
      <c r="CI35" s="3">
        <f t="shared" si="37"/>
        <v>129.61282120000001</v>
      </c>
      <c r="CJ35" s="3">
        <f t="shared" si="40"/>
        <v>49.483339000000015</v>
      </c>
      <c r="CK35" s="3">
        <f t="shared" si="43"/>
        <v>77.633584799999994</v>
      </c>
      <c r="CL35" s="3">
        <f t="shared" si="46"/>
        <v>372.52199999999999</v>
      </c>
      <c r="CM35" s="3">
        <f t="shared" si="49"/>
        <v>372.52199999999999</v>
      </c>
      <c r="CN35" s="3">
        <f t="shared" ref="CN35:CN62" si="52">IF($D24&lt;=20,$H$4*($H$10*$H$11*$H$12-$H$13*$H$14*$H$15)*$BZ$34/20,0)</f>
        <v>372.52199999999999</v>
      </c>
      <c r="CO35" s="3">
        <f>IF($D23&lt;=20,$H$4*($H$10*$H$11*$H$12-$H$13*$H$14*$H$15)*$BZ$35/20,0)</f>
        <v>372.52199999999999</v>
      </c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8">
        <f t="shared" si="16"/>
        <v>3426.2867158250001</v>
      </c>
      <c r="DH35" s="65">
        <f t="shared" si="17"/>
        <v>0.31866679934433295</v>
      </c>
    </row>
    <row r="36" spans="4:112" x14ac:dyDescent="0.4">
      <c r="D36" s="9">
        <f t="shared" si="18"/>
        <v>14</v>
      </c>
      <c r="E36" s="9">
        <f t="shared" si="18"/>
        <v>2030</v>
      </c>
      <c r="F36" s="8">
        <v>195251.34843612459</v>
      </c>
      <c r="G36" s="44">
        <v>300</v>
      </c>
      <c r="H36" s="37">
        <f t="shared" si="1"/>
        <v>48</v>
      </c>
      <c r="I36" s="8">
        <f t="shared" si="2"/>
        <v>2694.2777398169596</v>
      </c>
      <c r="J36" s="8">
        <f t="shared" si="25"/>
        <v>189.50399999999996</v>
      </c>
      <c r="K36" s="3">
        <f t="shared" si="3"/>
        <v>70.322219680000018</v>
      </c>
      <c r="L36" s="3">
        <f t="shared" si="19"/>
        <v>29.41664686208</v>
      </c>
      <c r="M36" s="3">
        <f t="shared" si="22"/>
        <v>48.521238848000017</v>
      </c>
      <c r="N36" s="3">
        <f t="shared" si="26"/>
        <v>22.089064511999997</v>
      </c>
      <c r="O36" s="3">
        <f t="shared" si="29"/>
        <v>28.528231455999993</v>
      </c>
      <c r="P36" s="3">
        <f t="shared" si="32"/>
        <v>7.3272593919999993</v>
      </c>
      <c r="Q36" s="3">
        <f t="shared" si="35"/>
        <v>20.738051391999999</v>
      </c>
      <c r="R36" s="3">
        <f t="shared" si="38"/>
        <v>7.9173342400000024</v>
      </c>
      <c r="S36" s="3">
        <f t="shared" si="41"/>
        <v>12.421373568000002</v>
      </c>
      <c r="T36" s="3">
        <f t="shared" si="44"/>
        <v>59.603519999999989</v>
      </c>
      <c r="U36" s="3">
        <f t="shared" si="47"/>
        <v>59.603519999999989</v>
      </c>
      <c r="V36" s="3">
        <f t="shared" si="50"/>
        <v>59.603519999999989</v>
      </c>
      <c r="W36" s="3">
        <f t="shared" ref="W36:W62" si="53">IF($D24&lt;=20,$H$4*($H$10*$H$11*$H$12-$H$13*$H$14*$H$15)*$H$35/20,0)</f>
        <v>59.603519999999989</v>
      </c>
      <c r="X36" s="3">
        <f>IF($D23&lt;=20,$H$4*($H$10*$H$11*$H$12-$H$13*$H$14*$H$15)*$H$36/20,0)</f>
        <v>59.603519999999989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8">
        <f t="shared" si="4"/>
        <v>545.29901995008004</v>
      </c>
      <c r="AP36" s="53">
        <f t="shared" si="5"/>
        <v>1.3799022446691976E-2</v>
      </c>
      <c r="AQ36" s="37">
        <f t="shared" si="6"/>
        <v>150</v>
      </c>
      <c r="AR36" s="8">
        <f t="shared" si="7"/>
        <v>8419.617936927998</v>
      </c>
      <c r="AS36" s="8">
        <f t="shared" si="8"/>
        <v>592.19999999999982</v>
      </c>
      <c r="AT36" s="3">
        <f t="shared" si="9"/>
        <v>219.75693650000002</v>
      </c>
      <c r="AU36" s="3">
        <f t="shared" si="20"/>
        <v>91.927021444000019</v>
      </c>
      <c r="AV36" s="3">
        <f t="shared" si="23"/>
        <v>151.62887140000004</v>
      </c>
      <c r="AW36" s="3">
        <f t="shared" si="27"/>
        <v>69.028326599999986</v>
      </c>
      <c r="AX36" s="3">
        <f t="shared" si="30"/>
        <v>89.150723299999981</v>
      </c>
      <c r="AY36" s="3">
        <f t="shared" si="33"/>
        <v>22.897685599999996</v>
      </c>
      <c r="AZ36" s="3">
        <f t="shared" si="36"/>
        <v>64.806410600000007</v>
      </c>
      <c r="BA36" s="3">
        <f t="shared" si="39"/>
        <v>24.741669500000008</v>
      </c>
      <c r="BB36" s="3">
        <f t="shared" si="42"/>
        <v>38.816792399999997</v>
      </c>
      <c r="BC36" s="3">
        <f t="shared" si="45"/>
        <v>186.261</v>
      </c>
      <c r="BD36" s="3">
        <f t="shared" si="48"/>
        <v>186.261</v>
      </c>
      <c r="BE36" s="3">
        <f t="shared" si="51"/>
        <v>186.261</v>
      </c>
      <c r="BF36" s="3">
        <f t="shared" ref="BF36:BF62" si="54">IF($D24&lt;=20,$H$4*($H$10*$H$11*$H$12-$H$13*$H$14*$H$15)*$AQ$35/20,0)</f>
        <v>186.261</v>
      </c>
      <c r="BG36" s="3">
        <f>IF($D23&lt;=20,$H$4*($H$10*$H$11*$H$12-$H$13*$H$14*$H$15)*$AQ$36/20,0)</f>
        <v>186.261</v>
      </c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8">
        <f t="shared" si="10"/>
        <v>1704.0594373440001</v>
      </c>
      <c r="BY36" s="65">
        <f t="shared" si="11"/>
        <v>4.3121945145912423E-2</v>
      </c>
      <c r="BZ36" s="37">
        <f t="shared" si="12"/>
        <v>300</v>
      </c>
      <c r="CA36" s="8">
        <f t="shared" si="13"/>
        <v>18271.76529135833</v>
      </c>
      <c r="CB36" s="8">
        <f t="shared" si="14"/>
        <v>1184.3999999999996</v>
      </c>
      <c r="CC36" s="3">
        <f t="shared" si="15"/>
        <v>439.51387300000005</v>
      </c>
      <c r="CD36" s="3">
        <f t="shared" si="21"/>
        <v>574.54388402500012</v>
      </c>
      <c r="CE36" s="3">
        <f t="shared" si="24"/>
        <v>303.25774280000007</v>
      </c>
      <c r="CF36" s="3">
        <f t="shared" si="28"/>
        <v>138.05665319999997</v>
      </c>
      <c r="CG36" s="3">
        <f t="shared" si="31"/>
        <v>178.30144659999996</v>
      </c>
      <c r="CH36" s="3">
        <f t="shared" si="34"/>
        <v>45.795371199999991</v>
      </c>
      <c r="CI36" s="3">
        <f t="shared" si="37"/>
        <v>129.61282120000001</v>
      </c>
      <c r="CJ36" s="3">
        <f t="shared" si="40"/>
        <v>49.483339000000015</v>
      </c>
      <c r="CK36" s="3">
        <f t="shared" si="43"/>
        <v>77.633584799999994</v>
      </c>
      <c r="CL36" s="3">
        <f t="shared" si="46"/>
        <v>372.52199999999999</v>
      </c>
      <c r="CM36" s="3">
        <f t="shared" si="49"/>
        <v>372.52199999999999</v>
      </c>
      <c r="CN36" s="3">
        <f t="shared" si="52"/>
        <v>372.52199999999999</v>
      </c>
      <c r="CO36" s="3">
        <f t="shared" ref="CO36:CO62" si="55">IF($D24&lt;=20,$H$4*($H$10*$H$11*$H$12-$H$13*$H$14*$H$15)*$BZ$35/20,0)</f>
        <v>372.52199999999999</v>
      </c>
      <c r="CP36" s="3">
        <f>IF($D23&lt;=20,$H$4*($H$10*$H$11*$H$12-$H$13*$H$14*$H$15)*$BZ$36/20,0)</f>
        <v>372.52199999999999</v>
      </c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8">
        <f t="shared" si="16"/>
        <v>3798.808715825</v>
      </c>
      <c r="DH36" s="65">
        <f t="shared" si="17"/>
        <v>0.3444135916861128</v>
      </c>
    </row>
    <row r="37" spans="4:112" x14ac:dyDescent="0.4">
      <c r="D37" s="9">
        <f t="shared" si="18"/>
        <v>15</v>
      </c>
      <c r="E37" s="9">
        <f t="shared" si="18"/>
        <v>2031</v>
      </c>
      <c r="F37" s="8">
        <v>96645.948778117672</v>
      </c>
      <c r="G37" s="44">
        <v>300</v>
      </c>
      <c r="H37" s="37">
        <f t="shared" si="1"/>
        <v>48</v>
      </c>
      <c r="I37" s="8">
        <f t="shared" si="2"/>
        <v>2912.8239798169602</v>
      </c>
      <c r="J37" s="8">
        <f t="shared" si="25"/>
        <v>189.50399999999996</v>
      </c>
      <c r="K37" s="3">
        <f t="shared" si="3"/>
        <v>70.322219680000018</v>
      </c>
      <c r="L37" s="3">
        <f t="shared" si="19"/>
        <v>29.41664686208</v>
      </c>
      <c r="M37" s="3">
        <f t="shared" si="22"/>
        <v>48.521238848000017</v>
      </c>
      <c r="N37" s="3">
        <f t="shared" si="26"/>
        <v>22.089064511999997</v>
      </c>
      <c r="O37" s="3">
        <f t="shared" si="29"/>
        <v>28.528231455999993</v>
      </c>
      <c r="P37" s="3">
        <f t="shared" si="32"/>
        <v>7.3272593919999993</v>
      </c>
      <c r="Q37" s="3">
        <f t="shared" si="35"/>
        <v>20.738051391999999</v>
      </c>
      <c r="R37" s="3">
        <f t="shared" si="38"/>
        <v>7.9173342400000024</v>
      </c>
      <c r="S37" s="3">
        <f t="shared" si="41"/>
        <v>12.421373568000002</v>
      </c>
      <c r="T37" s="3">
        <f t="shared" si="44"/>
        <v>59.603519999999989</v>
      </c>
      <c r="U37" s="3">
        <f t="shared" si="47"/>
        <v>59.603519999999989</v>
      </c>
      <c r="V37" s="3">
        <f t="shared" si="50"/>
        <v>59.603519999999989</v>
      </c>
      <c r="W37" s="3">
        <f t="shared" si="53"/>
        <v>59.603519999999989</v>
      </c>
      <c r="X37" s="3">
        <f t="shared" ref="X37:X62" si="56">IF($D24&lt;=20,$H$4*($H$10*$H$11*$H$12-$H$13*$H$14*$H$15)*$H$36/20,0)</f>
        <v>59.603519999999989</v>
      </c>
      <c r="Y37" s="3">
        <f>IF($D23&lt;=20,$H$4*($H$10*$H$11*$H$12-$H$13*$H$14*$H$15)*$H$37/20,0)</f>
        <v>59.603519999999989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8">
        <f t="shared" si="4"/>
        <v>604.90253995008004</v>
      </c>
      <c r="AP37" s="53">
        <f t="shared" si="5"/>
        <v>3.0139121366631712E-2</v>
      </c>
      <c r="AQ37" s="37">
        <f t="shared" si="6"/>
        <v>150</v>
      </c>
      <c r="AR37" s="8">
        <f t="shared" si="7"/>
        <v>9102.5749369280002</v>
      </c>
      <c r="AS37" s="8">
        <f t="shared" si="8"/>
        <v>592.19999999999982</v>
      </c>
      <c r="AT37" s="3">
        <f t="shared" si="9"/>
        <v>219.75693650000002</v>
      </c>
      <c r="AU37" s="3">
        <f t="shared" si="20"/>
        <v>91.927021444000019</v>
      </c>
      <c r="AV37" s="3">
        <f t="shared" si="23"/>
        <v>151.62887140000004</v>
      </c>
      <c r="AW37" s="3">
        <f t="shared" si="27"/>
        <v>69.028326599999986</v>
      </c>
      <c r="AX37" s="3">
        <f t="shared" si="30"/>
        <v>89.150723299999981</v>
      </c>
      <c r="AY37" s="3">
        <f t="shared" si="33"/>
        <v>22.897685599999996</v>
      </c>
      <c r="AZ37" s="3">
        <f t="shared" si="36"/>
        <v>64.806410600000007</v>
      </c>
      <c r="BA37" s="3">
        <f t="shared" si="39"/>
        <v>24.741669500000008</v>
      </c>
      <c r="BB37" s="3">
        <f t="shared" si="42"/>
        <v>38.816792399999997</v>
      </c>
      <c r="BC37" s="3">
        <f t="shared" si="45"/>
        <v>186.261</v>
      </c>
      <c r="BD37" s="3">
        <f t="shared" si="48"/>
        <v>186.261</v>
      </c>
      <c r="BE37" s="3">
        <f t="shared" si="51"/>
        <v>186.261</v>
      </c>
      <c r="BF37" s="3">
        <f t="shared" si="54"/>
        <v>186.261</v>
      </c>
      <c r="BG37" s="3">
        <f t="shared" ref="BG37:BG62" si="57">IF($D24&lt;=20,$H$4*($H$10*$H$11*$H$12-$H$13*$H$14*$H$15)*$AQ$36/20,0)</f>
        <v>186.261</v>
      </c>
      <c r="BH37" s="3">
        <f>IF($D23&lt;=20,$H$4*($H$10*$H$11*$H$12-$H$13*$H$14*$H$15)*$AQ$37/20,0)</f>
        <v>186.261</v>
      </c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8">
        <f t="shared" si="10"/>
        <v>1890.3204373440001</v>
      </c>
      <c r="BY37" s="65">
        <f t="shared" si="11"/>
        <v>9.4184754270724091E-2</v>
      </c>
      <c r="BZ37" s="37">
        <f t="shared" si="12"/>
        <v>300</v>
      </c>
      <c r="CA37" s="8">
        <f t="shared" si="13"/>
        <v>19637.67929135833</v>
      </c>
      <c r="CB37" s="8">
        <f t="shared" si="14"/>
        <v>1184.3999999999996</v>
      </c>
      <c r="CC37" s="3">
        <f t="shared" si="15"/>
        <v>439.51387300000005</v>
      </c>
      <c r="CD37" s="3">
        <f t="shared" si="21"/>
        <v>574.54388402500012</v>
      </c>
      <c r="CE37" s="3">
        <f t="shared" si="24"/>
        <v>303.25774280000007</v>
      </c>
      <c r="CF37" s="3">
        <f t="shared" si="28"/>
        <v>138.05665319999997</v>
      </c>
      <c r="CG37" s="3">
        <f t="shared" si="31"/>
        <v>178.30144659999996</v>
      </c>
      <c r="CH37" s="3">
        <f t="shared" si="34"/>
        <v>45.795371199999991</v>
      </c>
      <c r="CI37" s="3">
        <f t="shared" si="37"/>
        <v>129.61282120000001</v>
      </c>
      <c r="CJ37" s="3">
        <f t="shared" si="40"/>
        <v>49.483339000000015</v>
      </c>
      <c r="CK37" s="3">
        <f t="shared" si="43"/>
        <v>77.633584799999994</v>
      </c>
      <c r="CL37" s="3">
        <f t="shared" si="46"/>
        <v>372.52199999999999</v>
      </c>
      <c r="CM37" s="3">
        <f t="shared" si="49"/>
        <v>372.52199999999999</v>
      </c>
      <c r="CN37" s="3">
        <f t="shared" si="52"/>
        <v>372.52199999999999</v>
      </c>
      <c r="CO37" s="3">
        <f t="shared" si="55"/>
        <v>372.52199999999999</v>
      </c>
      <c r="CP37" s="3">
        <f t="shared" ref="CP37:CP62" si="58">IF($D24&lt;=20,$H$4*($H$10*$H$11*$H$12-$H$13*$H$14*$H$15)*$BZ$36/20,0)</f>
        <v>372.52199999999999</v>
      </c>
      <c r="CQ37" s="3">
        <f>IF($D23&lt;=20,$H$4*($H$10*$H$11*$H$12-$H$13*$H$14*$H$15)*$BZ$37/20,0)</f>
        <v>372.52199999999999</v>
      </c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8">
        <f t="shared" si="16"/>
        <v>4171.330715825</v>
      </c>
      <c r="DH37" s="65">
        <f t="shared" si="17"/>
        <v>0.37016038402789275</v>
      </c>
    </row>
    <row r="38" spans="4:112" x14ac:dyDescent="0.4">
      <c r="D38" s="9">
        <f t="shared" si="18"/>
        <v>16</v>
      </c>
      <c r="E38" s="9">
        <f t="shared" si="18"/>
        <v>2032</v>
      </c>
      <c r="F38" s="8">
        <v>58680.555999999997</v>
      </c>
      <c r="G38" s="44">
        <v>300</v>
      </c>
      <c r="H38" s="37">
        <f t="shared" si="1"/>
        <v>48</v>
      </c>
      <c r="I38" s="8">
        <f t="shared" si="2"/>
        <v>3131.3702198169599</v>
      </c>
      <c r="J38" s="8">
        <f t="shared" si="25"/>
        <v>189.50399999999996</v>
      </c>
      <c r="K38" s="3">
        <f t="shared" si="3"/>
        <v>70.322219680000018</v>
      </c>
      <c r="L38" s="3">
        <f t="shared" si="19"/>
        <v>29.41664686208</v>
      </c>
      <c r="M38" s="3">
        <f t="shared" si="22"/>
        <v>48.521238848000017</v>
      </c>
      <c r="N38" s="3">
        <f t="shared" si="26"/>
        <v>22.089064511999997</v>
      </c>
      <c r="O38" s="3">
        <f t="shared" si="29"/>
        <v>28.528231455999993</v>
      </c>
      <c r="P38" s="3">
        <f t="shared" si="32"/>
        <v>7.3272593919999993</v>
      </c>
      <c r="Q38" s="3">
        <f t="shared" si="35"/>
        <v>20.738051391999999</v>
      </c>
      <c r="R38" s="3">
        <f t="shared" si="38"/>
        <v>7.9173342400000024</v>
      </c>
      <c r="S38" s="3">
        <f t="shared" si="41"/>
        <v>12.421373568000002</v>
      </c>
      <c r="T38" s="3">
        <f t="shared" si="44"/>
        <v>59.603519999999989</v>
      </c>
      <c r="U38" s="3">
        <f t="shared" si="47"/>
        <v>59.603519999999989</v>
      </c>
      <c r="V38" s="3">
        <f t="shared" si="50"/>
        <v>59.603519999999989</v>
      </c>
      <c r="W38" s="3">
        <f t="shared" si="53"/>
        <v>59.603519999999989</v>
      </c>
      <c r="X38" s="3">
        <f t="shared" si="56"/>
        <v>59.603519999999989</v>
      </c>
      <c r="Y38" s="3">
        <f t="shared" ref="Y38:Y62" si="59">IF($D24&lt;=20,$H$4*($H$10*$H$11*$H$12-$H$13*$H$14*$H$15)*$H$37/20,0)</f>
        <v>59.603519999999989</v>
      </c>
      <c r="Z38" s="3">
        <f>IF($D23&lt;=20,$H$4*($H$10*$H$11*$H$12-$H$13*$H$14*$H$15)*$H$38/20,0)</f>
        <v>59.603519999999989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8">
        <f t="shared" si="4"/>
        <v>664.50605995008004</v>
      </c>
      <c r="AP38" s="53">
        <f t="shared" si="5"/>
        <v>5.3362995057800067E-2</v>
      </c>
      <c r="AQ38" s="37">
        <f t="shared" si="6"/>
        <v>150</v>
      </c>
      <c r="AR38" s="8">
        <f t="shared" si="7"/>
        <v>9785.5319369280005</v>
      </c>
      <c r="AS38" s="8">
        <f t="shared" si="8"/>
        <v>592.19999999999982</v>
      </c>
      <c r="AT38" s="3">
        <f t="shared" si="9"/>
        <v>219.75693650000002</v>
      </c>
      <c r="AU38" s="3">
        <f t="shared" si="20"/>
        <v>91.927021444000019</v>
      </c>
      <c r="AV38" s="3">
        <f t="shared" si="23"/>
        <v>151.62887140000004</v>
      </c>
      <c r="AW38" s="3">
        <f t="shared" si="27"/>
        <v>69.028326599999986</v>
      </c>
      <c r="AX38" s="3">
        <f t="shared" si="30"/>
        <v>89.150723299999981</v>
      </c>
      <c r="AY38" s="3">
        <f t="shared" si="33"/>
        <v>22.897685599999996</v>
      </c>
      <c r="AZ38" s="3">
        <f t="shared" si="36"/>
        <v>64.806410600000007</v>
      </c>
      <c r="BA38" s="3">
        <f t="shared" si="39"/>
        <v>24.741669500000008</v>
      </c>
      <c r="BB38" s="3">
        <f t="shared" si="42"/>
        <v>38.816792399999997</v>
      </c>
      <c r="BC38" s="3">
        <f t="shared" si="45"/>
        <v>186.261</v>
      </c>
      <c r="BD38" s="3">
        <f t="shared" si="48"/>
        <v>186.261</v>
      </c>
      <c r="BE38" s="3">
        <f t="shared" si="51"/>
        <v>186.261</v>
      </c>
      <c r="BF38" s="3">
        <f t="shared" si="54"/>
        <v>186.261</v>
      </c>
      <c r="BG38" s="3">
        <f t="shared" si="57"/>
        <v>186.261</v>
      </c>
      <c r="BH38" s="3">
        <f t="shared" ref="BH38:BH62" si="60">IF($D24&lt;=20,$H$4*($H$10*$H$11*$H$12-$H$13*$H$14*$H$15)*$AQ$37/20,0)</f>
        <v>186.261</v>
      </c>
      <c r="BI38" s="3">
        <f>IF($D23&lt;=20,$H$4*($H$10*$H$11*$H$12-$H$13*$H$14*$H$15)*$AQ$38/20,0)</f>
        <v>186.261</v>
      </c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8">
        <f t="shared" si="10"/>
        <v>2076.5814373440003</v>
      </c>
      <c r="BY38" s="65">
        <f t="shared" si="11"/>
        <v>0.16675935955562524</v>
      </c>
      <c r="BZ38" s="37">
        <f t="shared" si="12"/>
        <v>300</v>
      </c>
      <c r="CA38" s="8">
        <f t="shared" si="13"/>
        <v>21003.593291358331</v>
      </c>
      <c r="CB38" s="8">
        <f t="shared" si="14"/>
        <v>1184.3999999999996</v>
      </c>
      <c r="CC38" s="3">
        <f t="shared" si="15"/>
        <v>439.51387300000005</v>
      </c>
      <c r="CD38" s="3">
        <f t="shared" si="21"/>
        <v>574.54388402500012</v>
      </c>
      <c r="CE38" s="3">
        <f t="shared" si="24"/>
        <v>303.25774280000007</v>
      </c>
      <c r="CF38" s="3">
        <f t="shared" si="28"/>
        <v>138.05665319999997</v>
      </c>
      <c r="CG38" s="3">
        <f t="shared" si="31"/>
        <v>178.30144659999996</v>
      </c>
      <c r="CH38" s="3">
        <f t="shared" si="34"/>
        <v>45.795371199999991</v>
      </c>
      <c r="CI38" s="3">
        <f t="shared" si="37"/>
        <v>129.61282120000001</v>
      </c>
      <c r="CJ38" s="3">
        <f t="shared" si="40"/>
        <v>49.483339000000015</v>
      </c>
      <c r="CK38" s="3">
        <f t="shared" si="43"/>
        <v>77.633584799999994</v>
      </c>
      <c r="CL38" s="3">
        <f t="shared" si="46"/>
        <v>372.52199999999999</v>
      </c>
      <c r="CM38" s="3">
        <f t="shared" si="49"/>
        <v>372.52199999999999</v>
      </c>
      <c r="CN38" s="3">
        <f t="shared" si="52"/>
        <v>372.52199999999999</v>
      </c>
      <c r="CO38" s="3">
        <f t="shared" si="55"/>
        <v>372.52199999999999</v>
      </c>
      <c r="CP38" s="3">
        <f t="shared" si="58"/>
        <v>372.52199999999999</v>
      </c>
      <c r="CQ38" s="3">
        <f t="shared" ref="CQ38:CQ62" si="61">IF($D24&lt;=20,$H$4*($H$10*$H$11*$H$12-$H$13*$H$14*$H$15)*$BZ$37/20,0)</f>
        <v>372.52199999999999</v>
      </c>
      <c r="CR38" s="3">
        <f>IF($D23&lt;=20,$H$4*($H$10*$H$11*$H$12-$H$13*$H$14*$H$15)*$BZ$38/20,0)</f>
        <v>372.52199999999999</v>
      </c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8">
        <f t="shared" si="16"/>
        <v>4543.8527158249999</v>
      </c>
      <c r="DH38" s="65">
        <f t="shared" si="17"/>
        <v>0.39590717636967271</v>
      </c>
    </row>
    <row r="39" spans="4:112" x14ac:dyDescent="0.4">
      <c r="D39" s="9">
        <f t="shared" si="18"/>
        <v>17</v>
      </c>
      <c r="E39" s="9">
        <f t="shared" si="18"/>
        <v>2033</v>
      </c>
      <c r="F39" s="8">
        <v>59560.555999999997</v>
      </c>
      <c r="G39" s="44">
        <v>300</v>
      </c>
      <c r="H39" s="37">
        <f t="shared" si="1"/>
        <v>48</v>
      </c>
      <c r="I39" s="8">
        <f t="shared" si="2"/>
        <v>3349.91645981696</v>
      </c>
      <c r="J39" s="8">
        <f t="shared" si="25"/>
        <v>189.50399999999996</v>
      </c>
      <c r="K39" s="3">
        <f t="shared" si="3"/>
        <v>70.322219680000018</v>
      </c>
      <c r="L39" s="3">
        <f t="shared" si="19"/>
        <v>29.41664686208</v>
      </c>
      <c r="M39" s="3">
        <f t="shared" si="22"/>
        <v>48.521238848000017</v>
      </c>
      <c r="N39" s="3">
        <f t="shared" si="26"/>
        <v>22.089064511999997</v>
      </c>
      <c r="O39" s="3">
        <f t="shared" si="29"/>
        <v>28.528231455999993</v>
      </c>
      <c r="P39" s="3">
        <f t="shared" si="32"/>
        <v>7.3272593919999993</v>
      </c>
      <c r="Q39" s="3">
        <f t="shared" si="35"/>
        <v>20.738051391999999</v>
      </c>
      <c r="R39" s="3">
        <f t="shared" si="38"/>
        <v>7.9173342400000024</v>
      </c>
      <c r="S39" s="3">
        <f t="shared" si="41"/>
        <v>12.421373568000002</v>
      </c>
      <c r="T39" s="3">
        <f t="shared" si="44"/>
        <v>59.603519999999989</v>
      </c>
      <c r="U39" s="3">
        <f t="shared" si="47"/>
        <v>59.603519999999989</v>
      </c>
      <c r="V39" s="3">
        <f t="shared" si="50"/>
        <v>59.603519999999989</v>
      </c>
      <c r="W39" s="3">
        <f t="shared" si="53"/>
        <v>59.603519999999989</v>
      </c>
      <c r="X39" s="3">
        <f t="shared" si="56"/>
        <v>59.603519999999989</v>
      </c>
      <c r="Y39" s="3">
        <f t="shared" si="59"/>
        <v>59.603519999999989</v>
      </c>
      <c r="Z39" s="3">
        <f t="shared" ref="Z39:Z62" si="62">IF($D24&lt;=20,$H$4*($H$10*$H$11*$H$12-$H$13*$H$14*$H$15)*$H$38/20,0)</f>
        <v>59.603519999999989</v>
      </c>
      <c r="AA39" s="3">
        <f>IF($D23&lt;=20,$H$4*($H$10*$H$11*$H$12-$H$13*$H$14*$H$15)*$H$39/20,0)</f>
        <v>59.603519999999989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8">
        <f t="shared" si="4"/>
        <v>724.10957995008005</v>
      </c>
      <c r="AP39" s="53">
        <f t="shared" si="5"/>
        <v>5.6243874886207579E-2</v>
      </c>
      <c r="AQ39" s="37">
        <f t="shared" si="6"/>
        <v>150</v>
      </c>
      <c r="AR39" s="8">
        <f t="shared" si="7"/>
        <v>10468.488936927999</v>
      </c>
      <c r="AS39" s="8">
        <f t="shared" si="8"/>
        <v>592.19999999999982</v>
      </c>
      <c r="AT39" s="3">
        <f t="shared" si="9"/>
        <v>219.75693650000002</v>
      </c>
      <c r="AU39" s="3">
        <f t="shared" si="20"/>
        <v>91.927021444000019</v>
      </c>
      <c r="AV39" s="3">
        <f t="shared" si="23"/>
        <v>151.62887140000004</v>
      </c>
      <c r="AW39" s="3">
        <f t="shared" si="27"/>
        <v>69.028326599999986</v>
      </c>
      <c r="AX39" s="3">
        <f t="shared" si="30"/>
        <v>89.150723299999981</v>
      </c>
      <c r="AY39" s="3">
        <f t="shared" si="33"/>
        <v>22.897685599999996</v>
      </c>
      <c r="AZ39" s="3">
        <f t="shared" si="36"/>
        <v>64.806410600000007</v>
      </c>
      <c r="BA39" s="3">
        <f t="shared" si="39"/>
        <v>24.741669500000008</v>
      </c>
      <c r="BB39" s="3">
        <f t="shared" si="42"/>
        <v>38.816792399999997</v>
      </c>
      <c r="BC39" s="3">
        <f t="shared" si="45"/>
        <v>186.261</v>
      </c>
      <c r="BD39" s="3">
        <f t="shared" si="48"/>
        <v>186.261</v>
      </c>
      <c r="BE39" s="3">
        <f t="shared" si="51"/>
        <v>186.261</v>
      </c>
      <c r="BF39" s="3">
        <f t="shared" si="54"/>
        <v>186.261</v>
      </c>
      <c r="BG39" s="3">
        <f t="shared" si="57"/>
        <v>186.261</v>
      </c>
      <c r="BH39" s="3">
        <f t="shared" si="60"/>
        <v>186.261</v>
      </c>
      <c r="BI39" s="3">
        <f t="shared" ref="BI39:BI62" si="63">IF($D24&lt;=20,$H$4*($H$10*$H$11*$H$12-$H$13*$H$14*$H$15)*$AQ$38/20,0)</f>
        <v>186.261</v>
      </c>
      <c r="BJ39" s="3">
        <f>IF($D23&lt;=20,$H$4*($H$10*$H$11*$H$12-$H$13*$H$14*$H$15)*$AQ$39/20,0)</f>
        <v>186.261</v>
      </c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8">
        <f t="shared" si="10"/>
        <v>2262.8424373440002</v>
      </c>
      <c r="BY39" s="65">
        <f t="shared" si="11"/>
        <v>0.17576210901939868</v>
      </c>
      <c r="BZ39" s="37">
        <f t="shared" si="12"/>
        <v>300</v>
      </c>
      <c r="CA39" s="8">
        <f t="shared" si="13"/>
        <v>22369.507291358332</v>
      </c>
      <c r="CB39" s="8">
        <f t="shared" si="14"/>
        <v>1184.3999999999996</v>
      </c>
      <c r="CC39" s="3">
        <f t="shared" si="15"/>
        <v>439.51387300000005</v>
      </c>
      <c r="CD39" s="3">
        <f t="shared" si="21"/>
        <v>574.54388402500012</v>
      </c>
      <c r="CE39" s="3">
        <f t="shared" si="24"/>
        <v>303.25774280000007</v>
      </c>
      <c r="CF39" s="3">
        <f t="shared" si="28"/>
        <v>138.05665319999997</v>
      </c>
      <c r="CG39" s="3">
        <f t="shared" si="31"/>
        <v>178.30144659999996</v>
      </c>
      <c r="CH39" s="3">
        <f t="shared" si="34"/>
        <v>45.795371199999991</v>
      </c>
      <c r="CI39" s="3">
        <f t="shared" si="37"/>
        <v>129.61282120000001</v>
      </c>
      <c r="CJ39" s="3">
        <f t="shared" si="40"/>
        <v>49.483339000000015</v>
      </c>
      <c r="CK39" s="3">
        <f t="shared" si="43"/>
        <v>77.633584799999994</v>
      </c>
      <c r="CL39" s="3">
        <f t="shared" si="46"/>
        <v>372.52199999999999</v>
      </c>
      <c r="CM39" s="3">
        <f t="shared" si="49"/>
        <v>372.52199999999999</v>
      </c>
      <c r="CN39" s="3">
        <f t="shared" si="52"/>
        <v>372.52199999999999</v>
      </c>
      <c r="CO39" s="3">
        <f t="shared" si="55"/>
        <v>372.52199999999999</v>
      </c>
      <c r="CP39" s="3">
        <f t="shared" si="58"/>
        <v>372.52199999999999</v>
      </c>
      <c r="CQ39" s="3">
        <f t="shared" si="61"/>
        <v>372.52199999999999</v>
      </c>
      <c r="CR39" s="3">
        <f t="shared" ref="CR39:CR62" si="64">IF($D24&lt;=20,$H$4*($H$10*$H$11*$H$12-$H$13*$H$14*$H$15)*$BZ$38/20,0)</f>
        <v>372.52199999999999</v>
      </c>
      <c r="CS39" s="3">
        <f>IF($D23&lt;=20,$H$4*($H$10*$H$11*$H$12-$H$13*$H$14*$H$15)*$BZ$39/20,0)</f>
        <v>372.52199999999999</v>
      </c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8">
        <f t="shared" si="16"/>
        <v>4916.3747158249998</v>
      </c>
      <c r="DH39" s="65">
        <f t="shared" si="17"/>
        <v>0.42165396871145266</v>
      </c>
    </row>
    <row r="40" spans="4:112" x14ac:dyDescent="0.4">
      <c r="D40" s="9">
        <f t="shared" si="18"/>
        <v>18</v>
      </c>
      <c r="E40" s="9">
        <f t="shared" si="18"/>
        <v>2034</v>
      </c>
      <c r="F40" s="8">
        <v>60440.555999999997</v>
      </c>
      <c r="G40" s="44">
        <v>300</v>
      </c>
      <c r="H40" s="37">
        <f t="shared" si="1"/>
        <v>48</v>
      </c>
      <c r="I40" s="8">
        <f t="shared" si="2"/>
        <v>3568.4626998169597</v>
      </c>
      <c r="J40" s="8">
        <f t="shared" si="25"/>
        <v>189.50399999999996</v>
      </c>
      <c r="K40" s="3">
        <f t="shared" si="3"/>
        <v>70.322219680000018</v>
      </c>
      <c r="L40" s="3">
        <f t="shared" si="19"/>
        <v>29.41664686208</v>
      </c>
      <c r="M40" s="3">
        <f t="shared" si="22"/>
        <v>48.521238848000017</v>
      </c>
      <c r="N40" s="3">
        <f t="shared" si="26"/>
        <v>22.089064511999997</v>
      </c>
      <c r="O40" s="3">
        <f t="shared" si="29"/>
        <v>28.528231455999993</v>
      </c>
      <c r="P40" s="3">
        <f t="shared" si="32"/>
        <v>7.3272593919999993</v>
      </c>
      <c r="Q40" s="3">
        <f t="shared" si="35"/>
        <v>20.738051391999999</v>
      </c>
      <c r="R40" s="3">
        <f t="shared" si="38"/>
        <v>7.9173342400000024</v>
      </c>
      <c r="S40" s="3">
        <f t="shared" si="41"/>
        <v>12.421373568000002</v>
      </c>
      <c r="T40" s="3">
        <f t="shared" si="44"/>
        <v>59.603519999999989</v>
      </c>
      <c r="U40" s="3">
        <f t="shared" si="47"/>
        <v>59.603519999999989</v>
      </c>
      <c r="V40" s="3">
        <f t="shared" si="50"/>
        <v>59.603519999999989</v>
      </c>
      <c r="W40" s="3">
        <f t="shared" si="53"/>
        <v>59.603519999999989</v>
      </c>
      <c r="X40" s="3">
        <f t="shared" si="56"/>
        <v>59.603519999999989</v>
      </c>
      <c r="Y40" s="3">
        <f t="shared" si="59"/>
        <v>59.603519999999989</v>
      </c>
      <c r="Z40" s="3">
        <f t="shared" si="62"/>
        <v>59.603519999999989</v>
      </c>
      <c r="AA40" s="3">
        <f t="shared" ref="AA40:AA62" si="65">IF($D24&lt;=20,$H$4*($H$10*$H$11*$H$12-$H$13*$H$14*$H$15)*$H$39/20,0)</f>
        <v>59.603519999999989</v>
      </c>
      <c r="AB40" s="3">
        <f>IF($D23&lt;=20,$H$4*($H$10*$H$11*$H$12-$H$13*$H$14*$H$15)*$H$40/20,0)</f>
        <v>59.603519999999989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8">
        <f t="shared" si="4"/>
        <v>783.71309995008005</v>
      </c>
      <c r="AP40" s="53">
        <f t="shared" si="5"/>
        <v>5.9040864875845284E-2</v>
      </c>
      <c r="AQ40" s="37">
        <f t="shared" si="6"/>
        <v>150</v>
      </c>
      <c r="AR40" s="8">
        <f t="shared" si="7"/>
        <v>11151.445936927999</v>
      </c>
      <c r="AS40" s="8">
        <f t="shared" si="8"/>
        <v>592.19999999999982</v>
      </c>
      <c r="AT40" s="3">
        <f t="shared" si="9"/>
        <v>219.75693650000002</v>
      </c>
      <c r="AU40" s="3">
        <f t="shared" si="20"/>
        <v>91.927021444000019</v>
      </c>
      <c r="AV40" s="3">
        <f t="shared" si="23"/>
        <v>151.62887140000004</v>
      </c>
      <c r="AW40" s="3">
        <f t="shared" si="27"/>
        <v>69.028326599999986</v>
      </c>
      <c r="AX40" s="3">
        <f t="shared" si="30"/>
        <v>89.150723299999981</v>
      </c>
      <c r="AY40" s="3">
        <f t="shared" si="33"/>
        <v>22.897685599999996</v>
      </c>
      <c r="AZ40" s="3">
        <f t="shared" si="36"/>
        <v>64.806410600000007</v>
      </c>
      <c r="BA40" s="3">
        <f t="shared" si="39"/>
        <v>24.741669500000008</v>
      </c>
      <c r="BB40" s="3">
        <f t="shared" si="42"/>
        <v>38.816792399999997</v>
      </c>
      <c r="BC40" s="3">
        <f t="shared" si="45"/>
        <v>186.261</v>
      </c>
      <c r="BD40" s="3">
        <f t="shared" si="48"/>
        <v>186.261</v>
      </c>
      <c r="BE40" s="3">
        <f t="shared" si="51"/>
        <v>186.261</v>
      </c>
      <c r="BF40" s="3">
        <f t="shared" si="54"/>
        <v>186.261</v>
      </c>
      <c r="BG40" s="3">
        <f t="shared" si="57"/>
        <v>186.261</v>
      </c>
      <c r="BH40" s="3">
        <f t="shared" si="60"/>
        <v>186.261</v>
      </c>
      <c r="BI40" s="3">
        <f t="shared" si="63"/>
        <v>186.261</v>
      </c>
      <c r="BJ40" s="3">
        <f t="shared" ref="BJ40:BJ62" si="66">IF($D24&lt;=20,$H$4*($H$10*$H$11*$H$12-$H$13*$H$14*$H$15)*$AQ$39/20,0)</f>
        <v>186.261</v>
      </c>
      <c r="BK40" s="3">
        <f>IF($D23&lt;=20,$H$4*($H$10*$H$11*$H$12-$H$13*$H$14*$H$15)*$AQ$40/20,0)</f>
        <v>186.261</v>
      </c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8">
        <f t="shared" si="10"/>
        <v>2449.1034373440002</v>
      </c>
      <c r="BY40" s="65">
        <f t="shared" si="11"/>
        <v>0.18450270273701652</v>
      </c>
      <c r="BZ40" s="37">
        <f t="shared" si="12"/>
        <v>300</v>
      </c>
      <c r="CA40" s="8">
        <f t="shared" si="13"/>
        <v>23735.421291358329</v>
      </c>
      <c r="CB40" s="8">
        <f t="shared" si="14"/>
        <v>1184.3999999999996</v>
      </c>
      <c r="CC40" s="3">
        <f t="shared" si="15"/>
        <v>439.51387300000005</v>
      </c>
      <c r="CD40" s="3">
        <f t="shared" si="21"/>
        <v>574.54388402500012</v>
      </c>
      <c r="CE40" s="3">
        <f t="shared" si="24"/>
        <v>303.25774280000007</v>
      </c>
      <c r="CF40" s="3">
        <f t="shared" si="28"/>
        <v>138.05665319999997</v>
      </c>
      <c r="CG40" s="3">
        <f t="shared" si="31"/>
        <v>178.30144659999996</v>
      </c>
      <c r="CH40" s="3">
        <f t="shared" si="34"/>
        <v>45.795371199999991</v>
      </c>
      <c r="CI40" s="3">
        <f t="shared" si="37"/>
        <v>129.61282120000001</v>
      </c>
      <c r="CJ40" s="3">
        <f t="shared" si="40"/>
        <v>49.483339000000015</v>
      </c>
      <c r="CK40" s="3">
        <f t="shared" si="43"/>
        <v>77.633584799999994</v>
      </c>
      <c r="CL40" s="3">
        <f t="shared" si="46"/>
        <v>372.52199999999999</v>
      </c>
      <c r="CM40" s="3">
        <f t="shared" si="49"/>
        <v>372.52199999999999</v>
      </c>
      <c r="CN40" s="3">
        <f t="shared" si="52"/>
        <v>372.52199999999999</v>
      </c>
      <c r="CO40" s="3">
        <f t="shared" si="55"/>
        <v>372.52199999999999</v>
      </c>
      <c r="CP40" s="3">
        <f t="shared" si="58"/>
        <v>372.52199999999999</v>
      </c>
      <c r="CQ40" s="3">
        <f t="shared" si="61"/>
        <v>372.52199999999999</v>
      </c>
      <c r="CR40" s="3">
        <f t="shared" si="64"/>
        <v>372.52199999999999</v>
      </c>
      <c r="CS40" s="3">
        <f t="shared" ref="CS40:CS62" si="67">IF($D24&lt;=20,$H$4*($H$10*$H$11*$H$12-$H$13*$H$14*$H$15)*$BZ$39/20,0)</f>
        <v>372.52199999999999</v>
      </c>
      <c r="CT40" s="3">
        <f>IF($D23&lt;=20,$H$4*($H$10*$H$11*$H$12-$H$13*$H$14*$H$15)*$BZ$40/20,0)</f>
        <v>372.52199999999999</v>
      </c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8">
        <f t="shared" si="16"/>
        <v>5288.8967158249998</v>
      </c>
      <c r="DH40" s="65">
        <f t="shared" si="17"/>
        <v>0.44740076105323251</v>
      </c>
    </row>
    <row r="41" spans="4:112" x14ac:dyDescent="0.4">
      <c r="D41" s="9">
        <f t="shared" ref="D41:E56" si="68">D40+1</f>
        <v>19</v>
      </c>
      <c r="E41" s="9">
        <f t="shared" si="68"/>
        <v>2035</v>
      </c>
      <c r="F41" s="8">
        <v>61320.555999999997</v>
      </c>
      <c r="G41" s="44">
        <v>300</v>
      </c>
      <c r="H41" s="37">
        <f t="shared" si="1"/>
        <v>48</v>
      </c>
      <c r="I41" s="8">
        <f t="shared" si="2"/>
        <v>3787.0089398169603</v>
      </c>
      <c r="J41" s="8">
        <f t="shared" si="25"/>
        <v>189.50399999999996</v>
      </c>
      <c r="K41" s="3">
        <f t="shared" si="3"/>
        <v>70.322219680000018</v>
      </c>
      <c r="L41" s="3">
        <f t="shared" si="19"/>
        <v>29.41664686208</v>
      </c>
      <c r="M41" s="3">
        <f t="shared" si="22"/>
        <v>48.521238848000017</v>
      </c>
      <c r="N41" s="3">
        <f t="shared" si="26"/>
        <v>22.089064511999997</v>
      </c>
      <c r="O41" s="3">
        <f t="shared" si="29"/>
        <v>28.528231455999993</v>
      </c>
      <c r="P41" s="3">
        <f t="shared" si="32"/>
        <v>7.3272593919999993</v>
      </c>
      <c r="Q41" s="3">
        <f t="shared" si="35"/>
        <v>20.738051391999999</v>
      </c>
      <c r="R41" s="3">
        <f t="shared" si="38"/>
        <v>7.9173342400000024</v>
      </c>
      <c r="S41" s="3">
        <f t="shared" si="41"/>
        <v>12.421373568000002</v>
      </c>
      <c r="T41" s="3">
        <f t="shared" si="44"/>
        <v>59.603519999999989</v>
      </c>
      <c r="U41" s="3">
        <f t="shared" si="47"/>
        <v>59.603519999999989</v>
      </c>
      <c r="V41" s="3">
        <f t="shared" si="50"/>
        <v>59.603519999999989</v>
      </c>
      <c r="W41" s="3">
        <f t="shared" si="53"/>
        <v>59.603519999999989</v>
      </c>
      <c r="X41" s="3">
        <f t="shared" si="56"/>
        <v>59.603519999999989</v>
      </c>
      <c r="Y41" s="3">
        <f t="shared" si="59"/>
        <v>59.603519999999989</v>
      </c>
      <c r="Z41" s="3">
        <f t="shared" si="62"/>
        <v>59.603519999999989</v>
      </c>
      <c r="AA41" s="3">
        <f t="shared" si="65"/>
        <v>59.603519999999989</v>
      </c>
      <c r="AB41" s="3">
        <f t="shared" ref="AB41:AB62" si="69">IF($D24&lt;=20,$H$4*($H$10*$H$11*$H$12-$H$13*$H$14*$H$15)*$H$40/20,0)</f>
        <v>59.603519999999989</v>
      </c>
      <c r="AC41" s="3">
        <f>IF($D23&lt;=20,$H$4*($H$10*$H$11*$H$12-$H$13*$H$14*$H$15)*$H$41/20,0)</f>
        <v>59.603519999999989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8">
        <f t="shared" si="4"/>
        <v>843.31661995008005</v>
      </c>
      <c r="AP41" s="53">
        <f t="shared" si="5"/>
        <v>6.1757576689568182E-2</v>
      </c>
      <c r="AQ41" s="37">
        <f t="shared" si="6"/>
        <v>150</v>
      </c>
      <c r="AR41" s="8">
        <f t="shared" si="7"/>
        <v>11834.402936928</v>
      </c>
      <c r="AS41" s="8">
        <f t="shared" si="8"/>
        <v>592.19999999999982</v>
      </c>
      <c r="AT41" s="3">
        <f t="shared" si="9"/>
        <v>219.75693650000002</v>
      </c>
      <c r="AU41" s="3">
        <f t="shared" si="20"/>
        <v>91.927021444000019</v>
      </c>
      <c r="AV41" s="3">
        <f t="shared" si="23"/>
        <v>151.62887140000004</v>
      </c>
      <c r="AW41" s="3">
        <f t="shared" si="27"/>
        <v>69.028326599999986</v>
      </c>
      <c r="AX41" s="3">
        <f t="shared" si="30"/>
        <v>89.150723299999981</v>
      </c>
      <c r="AY41" s="3">
        <f t="shared" si="33"/>
        <v>22.897685599999996</v>
      </c>
      <c r="AZ41" s="3">
        <f t="shared" si="36"/>
        <v>64.806410600000007</v>
      </c>
      <c r="BA41" s="3">
        <f t="shared" si="39"/>
        <v>24.741669500000008</v>
      </c>
      <c r="BB41" s="3">
        <f t="shared" si="42"/>
        <v>38.816792399999997</v>
      </c>
      <c r="BC41" s="3">
        <f t="shared" si="45"/>
        <v>186.261</v>
      </c>
      <c r="BD41" s="3">
        <f t="shared" si="48"/>
        <v>186.261</v>
      </c>
      <c r="BE41" s="3">
        <f t="shared" si="51"/>
        <v>186.261</v>
      </c>
      <c r="BF41" s="3">
        <f t="shared" si="54"/>
        <v>186.261</v>
      </c>
      <c r="BG41" s="3">
        <f t="shared" si="57"/>
        <v>186.261</v>
      </c>
      <c r="BH41" s="3">
        <f t="shared" si="60"/>
        <v>186.261</v>
      </c>
      <c r="BI41" s="3">
        <f t="shared" si="63"/>
        <v>186.261</v>
      </c>
      <c r="BJ41" s="3">
        <f t="shared" si="66"/>
        <v>186.261</v>
      </c>
      <c r="BK41" s="3">
        <f t="shared" ref="BK41:BK62" si="70">IF($D24&lt;=20,$H$4*($H$10*$H$11*$H$12-$H$13*$H$14*$H$15)*$AQ$40/20,0)</f>
        <v>186.261</v>
      </c>
      <c r="BL41" s="3">
        <f>IF($D23&lt;=20,$H$4*($H$10*$H$11*$H$12-$H$13*$H$14*$H$15)*$AQ$41/20,0)</f>
        <v>186.261</v>
      </c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8">
        <f t="shared" si="10"/>
        <v>2635.3644373440002</v>
      </c>
      <c r="BY41" s="65">
        <f t="shared" si="11"/>
        <v>0.19299242715490056</v>
      </c>
      <c r="BZ41" s="37">
        <f t="shared" si="12"/>
        <v>300</v>
      </c>
      <c r="CA41" s="8">
        <f t="shared" si="13"/>
        <v>25101.335291358329</v>
      </c>
      <c r="CB41" s="8">
        <f t="shared" si="14"/>
        <v>1184.3999999999996</v>
      </c>
      <c r="CC41" s="3">
        <f t="shared" si="15"/>
        <v>439.51387300000005</v>
      </c>
      <c r="CD41" s="3">
        <f t="shared" si="21"/>
        <v>574.54388402500012</v>
      </c>
      <c r="CE41" s="3">
        <f t="shared" si="24"/>
        <v>303.25774280000007</v>
      </c>
      <c r="CF41" s="3">
        <f t="shared" si="28"/>
        <v>138.05665319999997</v>
      </c>
      <c r="CG41" s="3">
        <f t="shared" si="31"/>
        <v>178.30144659999996</v>
      </c>
      <c r="CH41" s="3">
        <f t="shared" si="34"/>
        <v>45.795371199999991</v>
      </c>
      <c r="CI41" s="3">
        <f t="shared" si="37"/>
        <v>129.61282120000001</v>
      </c>
      <c r="CJ41" s="3">
        <f t="shared" si="40"/>
        <v>49.483339000000015</v>
      </c>
      <c r="CK41" s="3">
        <f t="shared" si="43"/>
        <v>77.633584799999994</v>
      </c>
      <c r="CL41" s="3">
        <f t="shared" si="46"/>
        <v>372.52199999999999</v>
      </c>
      <c r="CM41" s="3">
        <f t="shared" si="49"/>
        <v>372.52199999999999</v>
      </c>
      <c r="CN41" s="3">
        <f t="shared" si="52"/>
        <v>372.52199999999999</v>
      </c>
      <c r="CO41" s="3">
        <f t="shared" si="55"/>
        <v>372.52199999999999</v>
      </c>
      <c r="CP41" s="3">
        <f t="shared" si="58"/>
        <v>372.52199999999999</v>
      </c>
      <c r="CQ41" s="3">
        <f t="shared" si="61"/>
        <v>372.52199999999999</v>
      </c>
      <c r="CR41" s="3">
        <f t="shared" si="64"/>
        <v>372.52199999999999</v>
      </c>
      <c r="CS41" s="3">
        <f t="shared" si="67"/>
        <v>372.52199999999999</v>
      </c>
      <c r="CT41" s="3">
        <f t="shared" ref="CT41:CT62" si="71">IF($D24&lt;=20,$H$4*($H$10*$H$11*$H$12-$H$13*$H$14*$H$15)*$BZ$40/20,0)</f>
        <v>372.52199999999999</v>
      </c>
      <c r="CU41" s="3">
        <f>IF($D23&lt;=20,$H$4*($H$10*$H$11*$H$12-$H$13*$H$14*$H$15)*$BZ$41/20,0)</f>
        <v>372.52199999999999</v>
      </c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8">
        <f t="shared" si="16"/>
        <v>5661.4187158249997</v>
      </c>
      <c r="DH41" s="65">
        <f t="shared" si="17"/>
        <v>0.47314755339501247</v>
      </c>
    </row>
    <row r="42" spans="4:112" x14ac:dyDescent="0.4">
      <c r="D42" s="9">
        <f t="shared" si="68"/>
        <v>20</v>
      </c>
      <c r="E42" s="9">
        <f t="shared" si="68"/>
        <v>2036</v>
      </c>
      <c r="F42" s="8">
        <v>62200.555999999997</v>
      </c>
      <c r="G42" s="44">
        <v>300</v>
      </c>
      <c r="H42" s="37">
        <f t="shared" si="1"/>
        <v>48</v>
      </c>
      <c r="I42" s="8">
        <f t="shared" si="2"/>
        <v>4005.5551798169595</v>
      </c>
      <c r="J42" s="8">
        <f t="shared" si="25"/>
        <v>189.50399999999996</v>
      </c>
      <c r="K42" s="3">
        <f t="shared" si="3"/>
        <v>70.322219680000018</v>
      </c>
      <c r="L42" s="3">
        <f t="shared" si="19"/>
        <v>29.41664686208</v>
      </c>
      <c r="M42" s="3">
        <f t="shared" si="22"/>
        <v>48.521238848000017</v>
      </c>
      <c r="N42" s="3">
        <f t="shared" si="26"/>
        <v>22.089064511999997</v>
      </c>
      <c r="O42" s="3">
        <f t="shared" si="29"/>
        <v>28.528231455999993</v>
      </c>
      <c r="P42" s="3">
        <f t="shared" si="32"/>
        <v>7.3272593919999993</v>
      </c>
      <c r="Q42" s="3">
        <f t="shared" si="35"/>
        <v>20.738051391999999</v>
      </c>
      <c r="R42" s="3">
        <f t="shared" si="38"/>
        <v>7.9173342400000024</v>
      </c>
      <c r="S42" s="3">
        <f t="shared" si="41"/>
        <v>12.421373568000002</v>
      </c>
      <c r="T42" s="3">
        <f t="shared" si="44"/>
        <v>59.603519999999989</v>
      </c>
      <c r="U42" s="3">
        <f t="shared" si="47"/>
        <v>59.603519999999989</v>
      </c>
      <c r="V42" s="3">
        <f t="shared" si="50"/>
        <v>59.603519999999989</v>
      </c>
      <c r="W42" s="3">
        <f t="shared" si="53"/>
        <v>59.603519999999989</v>
      </c>
      <c r="X42" s="3">
        <f t="shared" si="56"/>
        <v>59.603519999999989</v>
      </c>
      <c r="Y42" s="3">
        <f t="shared" si="59"/>
        <v>59.603519999999989</v>
      </c>
      <c r="Z42" s="3">
        <f t="shared" si="62"/>
        <v>59.603519999999989</v>
      </c>
      <c r="AA42" s="3">
        <f t="shared" si="65"/>
        <v>59.603519999999989</v>
      </c>
      <c r="AB42" s="3">
        <f t="shared" si="69"/>
        <v>59.603519999999989</v>
      </c>
      <c r="AC42" s="3">
        <f t="shared" ref="AC42:AC62" si="72">IF($D24&lt;=20,$H$4*($H$10*$H$11*$H$12-$H$13*$H$14*$H$15)*$H$41/20,0)</f>
        <v>59.603519999999989</v>
      </c>
      <c r="AD42" s="3">
        <f>IF($D23&lt;=20,$H$4*($H$10*$H$11*$H$12-$H$13*$H$14*$H$15)*$H$42/20,0)</f>
        <v>59.603519999999989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8">
        <f t="shared" si="4"/>
        <v>902.92013995008006</v>
      </c>
      <c r="AP42" s="53">
        <f t="shared" si="5"/>
        <v>6.4397417602134618E-2</v>
      </c>
      <c r="AQ42" s="37">
        <f t="shared" si="6"/>
        <v>150</v>
      </c>
      <c r="AR42" s="8">
        <f t="shared" si="7"/>
        <v>12517.359936928</v>
      </c>
      <c r="AS42" s="8">
        <f t="shared" si="8"/>
        <v>592.19999999999982</v>
      </c>
      <c r="AT42" s="3">
        <f t="shared" si="9"/>
        <v>219.75693650000002</v>
      </c>
      <c r="AU42" s="3">
        <f t="shared" si="20"/>
        <v>91.927021444000019</v>
      </c>
      <c r="AV42" s="3">
        <f t="shared" si="23"/>
        <v>151.62887140000004</v>
      </c>
      <c r="AW42" s="3">
        <f t="shared" si="27"/>
        <v>69.028326599999986</v>
      </c>
      <c r="AX42" s="3">
        <f t="shared" si="30"/>
        <v>89.150723299999981</v>
      </c>
      <c r="AY42" s="3">
        <f t="shared" si="33"/>
        <v>22.897685599999996</v>
      </c>
      <c r="AZ42" s="3">
        <f t="shared" si="36"/>
        <v>64.806410600000007</v>
      </c>
      <c r="BA42" s="3">
        <f t="shared" si="39"/>
        <v>24.741669500000008</v>
      </c>
      <c r="BB42" s="3">
        <f t="shared" si="42"/>
        <v>38.816792399999997</v>
      </c>
      <c r="BC42" s="3">
        <f t="shared" si="45"/>
        <v>186.261</v>
      </c>
      <c r="BD42" s="3">
        <f t="shared" si="48"/>
        <v>186.261</v>
      </c>
      <c r="BE42" s="3">
        <f t="shared" si="51"/>
        <v>186.261</v>
      </c>
      <c r="BF42" s="3">
        <f t="shared" si="54"/>
        <v>186.261</v>
      </c>
      <c r="BG42" s="3">
        <f t="shared" si="57"/>
        <v>186.261</v>
      </c>
      <c r="BH42" s="3">
        <f t="shared" si="60"/>
        <v>186.261</v>
      </c>
      <c r="BI42" s="3">
        <f t="shared" si="63"/>
        <v>186.261</v>
      </c>
      <c r="BJ42" s="3">
        <f t="shared" si="66"/>
        <v>186.261</v>
      </c>
      <c r="BK42" s="3">
        <f t="shared" si="70"/>
        <v>186.261</v>
      </c>
      <c r="BL42" s="3">
        <f t="shared" ref="BL42:BL62" si="73">IF($D24&lt;=20,$H$4*($H$10*$H$11*$H$12-$H$13*$H$14*$H$15)*$AQ$41/20,0)</f>
        <v>186.261</v>
      </c>
      <c r="BM42" s="3">
        <f>IF($D23&lt;=20,$H$4*($H$10*$H$11*$H$12-$H$13*$H$14*$H$15)*$AQ$42/20,0)</f>
        <v>186.261</v>
      </c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8">
        <f t="shared" si="10"/>
        <v>2821.6254373440001</v>
      </c>
      <c r="BY42" s="65">
        <f t="shared" si="11"/>
        <v>0.20124193000667068</v>
      </c>
      <c r="BZ42" s="37">
        <f t="shared" si="12"/>
        <v>300</v>
      </c>
      <c r="CA42" s="8">
        <f t="shared" si="13"/>
        <v>26467.24929135833</v>
      </c>
      <c r="CB42" s="8">
        <f t="shared" si="14"/>
        <v>1184.3999999999996</v>
      </c>
      <c r="CC42" s="3">
        <f t="shared" si="15"/>
        <v>439.51387300000005</v>
      </c>
      <c r="CD42" s="3">
        <f t="shared" si="21"/>
        <v>574.54388402500012</v>
      </c>
      <c r="CE42" s="3">
        <f t="shared" si="24"/>
        <v>303.25774280000007</v>
      </c>
      <c r="CF42" s="3">
        <f t="shared" si="28"/>
        <v>138.05665319999997</v>
      </c>
      <c r="CG42" s="3">
        <f t="shared" si="31"/>
        <v>178.30144659999996</v>
      </c>
      <c r="CH42" s="3">
        <f t="shared" si="34"/>
        <v>45.795371199999991</v>
      </c>
      <c r="CI42" s="3">
        <f t="shared" si="37"/>
        <v>129.61282120000001</v>
      </c>
      <c r="CJ42" s="3">
        <f t="shared" si="40"/>
        <v>49.483339000000015</v>
      </c>
      <c r="CK42" s="3">
        <f t="shared" si="43"/>
        <v>77.633584799999994</v>
      </c>
      <c r="CL42" s="3">
        <f t="shared" si="46"/>
        <v>372.52199999999999</v>
      </c>
      <c r="CM42" s="3">
        <f t="shared" si="49"/>
        <v>372.52199999999999</v>
      </c>
      <c r="CN42" s="3">
        <f t="shared" si="52"/>
        <v>372.52199999999999</v>
      </c>
      <c r="CO42" s="3">
        <f t="shared" si="55"/>
        <v>372.52199999999999</v>
      </c>
      <c r="CP42" s="3">
        <f t="shared" si="58"/>
        <v>372.52199999999999</v>
      </c>
      <c r="CQ42" s="3">
        <f t="shared" si="61"/>
        <v>372.52199999999999</v>
      </c>
      <c r="CR42" s="3">
        <f t="shared" si="64"/>
        <v>372.52199999999999</v>
      </c>
      <c r="CS42" s="3">
        <f t="shared" si="67"/>
        <v>372.52199999999999</v>
      </c>
      <c r="CT42" s="3">
        <f t="shared" si="71"/>
        <v>372.52199999999999</v>
      </c>
      <c r="CU42" s="3">
        <f t="shared" ref="CU42:CU62" si="74">IF($D24&lt;=20,$H$4*($H$10*$H$11*$H$12-$H$13*$H$14*$H$15)*$BZ$41/20,0)</f>
        <v>372.52199999999999</v>
      </c>
      <c r="CV42" s="3">
        <f>IF($D23&lt;=20,$H$4*($H$10*$H$11*$H$12-$H$13*$H$14*$H$15)*$BZ$42/20,0)</f>
        <v>372.52199999999999</v>
      </c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8">
        <f t="shared" si="16"/>
        <v>6033.9407158249996</v>
      </c>
      <c r="DH42" s="65">
        <f t="shared" si="17"/>
        <v>0.49889434573679242</v>
      </c>
    </row>
    <row r="43" spans="4:112" x14ac:dyDescent="0.4">
      <c r="D43" s="9">
        <f t="shared" si="68"/>
        <v>21</v>
      </c>
      <c r="E43" s="9">
        <f t="shared" si="68"/>
        <v>2037</v>
      </c>
      <c r="F43" s="8">
        <v>50435.102666666666</v>
      </c>
      <c r="G43" s="44">
        <v>300</v>
      </c>
      <c r="H43" s="37">
        <f t="shared" si="1"/>
        <v>48</v>
      </c>
      <c r="I43" s="8">
        <f t="shared" si="2"/>
        <v>3966.2532809902928</v>
      </c>
      <c r="J43" s="8">
        <f t="shared" si="25"/>
        <v>189.50399999999996</v>
      </c>
      <c r="K43" s="3">
        <f t="shared" si="3"/>
        <v>0</v>
      </c>
      <c r="L43" s="3">
        <f t="shared" si="19"/>
        <v>29.41664686208</v>
      </c>
      <c r="M43" s="3">
        <f t="shared" si="22"/>
        <v>48.521238848000017</v>
      </c>
      <c r="N43" s="3">
        <f t="shared" si="26"/>
        <v>22.089064511999997</v>
      </c>
      <c r="O43" s="3">
        <f t="shared" si="29"/>
        <v>28.528231455999993</v>
      </c>
      <c r="P43" s="3">
        <f t="shared" si="32"/>
        <v>7.3272593919999993</v>
      </c>
      <c r="Q43" s="3">
        <f t="shared" si="35"/>
        <v>20.738051391999999</v>
      </c>
      <c r="R43" s="3">
        <f t="shared" si="38"/>
        <v>7.9173342400000024</v>
      </c>
      <c r="S43" s="3">
        <f t="shared" si="41"/>
        <v>12.421373568000002</v>
      </c>
      <c r="T43" s="3">
        <f t="shared" si="44"/>
        <v>59.603519999999989</v>
      </c>
      <c r="U43" s="3">
        <f t="shared" si="47"/>
        <v>59.603519999999989</v>
      </c>
      <c r="V43" s="3">
        <f t="shared" si="50"/>
        <v>59.603519999999989</v>
      </c>
      <c r="W43" s="3">
        <f t="shared" si="53"/>
        <v>59.603519999999989</v>
      </c>
      <c r="X43" s="3">
        <f t="shared" si="56"/>
        <v>59.603519999999989</v>
      </c>
      <c r="Y43" s="3">
        <f t="shared" si="59"/>
        <v>59.603519999999989</v>
      </c>
      <c r="Z43" s="3">
        <f t="shared" si="62"/>
        <v>59.603519999999989</v>
      </c>
      <c r="AA43" s="3">
        <f t="shared" si="65"/>
        <v>59.603519999999989</v>
      </c>
      <c r="AB43" s="3">
        <f t="shared" si="69"/>
        <v>59.603519999999989</v>
      </c>
      <c r="AC43" s="3">
        <f t="shared" si="72"/>
        <v>59.603519999999989</v>
      </c>
      <c r="AD43" s="3">
        <f t="shared" ref="AD43:AD62" si="75">IF($D24&lt;=20,$H$4*($H$10*$H$11*$H$12-$H$13*$H$14*$H$15)*$H$42/20,0)</f>
        <v>59.603519999999989</v>
      </c>
      <c r="AE43" s="3">
        <f>IF($D23&lt;=20,$H$4*($H$10*$H$11*$H$12-$H$13*$H$14*$H$15)*$H$42/20,0)</f>
        <v>59.603519999999989</v>
      </c>
      <c r="AF43" s="3"/>
      <c r="AG43" s="3"/>
      <c r="AH43" s="3"/>
      <c r="AI43" s="3"/>
      <c r="AJ43" s="3"/>
      <c r="AK43" s="3"/>
      <c r="AL43" s="3"/>
      <c r="AM43" s="3"/>
      <c r="AN43" s="3"/>
      <c r="AO43" s="8">
        <f t="shared" si="4"/>
        <v>892.20144027007996</v>
      </c>
      <c r="AP43" s="53">
        <f t="shared" si="5"/>
        <v>7.8640729794957884E-2</v>
      </c>
      <c r="AQ43" s="37">
        <f t="shared" si="6"/>
        <v>150</v>
      </c>
      <c r="AR43" s="8">
        <f t="shared" si="7"/>
        <v>12394.541503094664</v>
      </c>
      <c r="AS43" s="8">
        <f t="shared" si="8"/>
        <v>592.19999999999982</v>
      </c>
      <c r="AT43" s="3">
        <f t="shared" si="9"/>
        <v>0</v>
      </c>
      <c r="AU43" s="3">
        <f t="shared" si="20"/>
        <v>91.927021444000019</v>
      </c>
      <c r="AV43" s="3">
        <f t="shared" si="23"/>
        <v>151.62887140000004</v>
      </c>
      <c r="AW43" s="3">
        <f t="shared" si="27"/>
        <v>69.028326599999986</v>
      </c>
      <c r="AX43" s="3">
        <f t="shared" si="30"/>
        <v>89.150723299999981</v>
      </c>
      <c r="AY43" s="3">
        <f t="shared" si="33"/>
        <v>22.897685599999996</v>
      </c>
      <c r="AZ43" s="3">
        <f t="shared" si="36"/>
        <v>64.806410600000007</v>
      </c>
      <c r="BA43" s="3">
        <f t="shared" si="39"/>
        <v>24.741669500000008</v>
      </c>
      <c r="BB43" s="3">
        <f t="shared" si="42"/>
        <v>38.816792399999997</v>
      </c>
      <c r="BC43" s="3">
        <f t="shared" si="45"/>
        <v>186.261</v>
      </c>
      <c r="BD43" s="3">
        <f t="shared" si="48"/>
        <v>186.261</v>
      </c>
      <c r="BE43" s="3">
        <f t="shared" si="51"/>
        <v>186.261</v>
      </c>
      <c r="BF43" s="3">
        <f t="shared" si="54"/>
        <v>186.261</v>
      </c>
      <c r="BG43" s="3">
        <f t="shared" si="57"/>
        <v>186.261</v>
      </c>
      <c r="BH43" s="3">
        <f t="shared" si="60"/>
        <v>186.261</v>
      </c>
      <c r="BI43" s="3">
        <f t="shared" si="63"/>
        <v>186.261</v>
      </c>
      <c r="BJ43" s="3">
        <f t="shared" si="66"/>
        <v>186.261</v>
      </c>
      <c r="BK43" s="3">
        <f t="shared" si="70"/>
        <v>186.261</v>
      </c>
      <c r="BL43" s="3">
        <f t="shared" si="73"/>
        <v>186.261</v>
      </c>
      <c r="BM43" s="3">
        <f t="shared" ref="BM43:BM62" si="76">IF($D24&lt;=20,$H$4*($H$10*$H$11*$H$12-$H$13*$H$14*$H$15)*$AQ$42/20,0)</f>
        <v>186.261</v>
      </c>
      <c r="BN43" s="3">
        <f>IF($D23&lt;=20,$H$4*($H$10*$H$11*$H$12-$H$13*$H$14*$H$15)*$AQ$42/20,0)</f>
        <v>186.261</v>
      </c>
      <c r="BO43" s="3"/>
      <c r="BP43" s="3"/>
      <c r="BQ43" s="3"/>
      <c r="BR43" s="3"/>
      <c r="BS43" s="3"/>
      <c r="BT43" s="3"/>
      <c r="BU43" s="3"/>
      <c r="BV43" s="3"/>
      <c r="BW43" s="3"/>
      <c r="BX43" s="8">
        <f t="shared" si="10"/>
        <v>2788.1295008439997</v>
      </c>
      <c r="BY43" s="65">
        <f t="shared" si="11"/>
        <v>0.24575228060924337</v>
      </c>
      <c r="BZ43" s="37">
        <f t="shared" si="12"/>
        <v>300</v>
      </c>
      <c r="CA43" s="8">
        <f t="shared" si="13"/>
        <v>26221.612423691662</v>
      </c>
      <c r="CB43" s="8">
        <f t="shared" si="14"/>
        <v>1184.3999999999996</v>
      </c>
      <c r="CC43" s="3">
        <f t="shared" si="15"/>
        <v>0</v>
      </c>
      <c r="CD43" s="3">
        <f t="shared" si="21"/>
        <v>574.54388402500012</v>
      </c>
      <c r="CE43" s="3">
        <f t="shared" si="24"/>
        <v>303.25774280000007</v>
      </c>
      <c r="CF43" s="3">
        <f t="shared" si="28"/>
        <v>138.05665319999997</v>
      </c>
      <c r="CG43" s="3">
        <f t="shared" si="31"/>
        <v>178.30144659999996</v>
      </c>
      <c r="CH43" s="3">
        <f t="shared" si="34"/>
        <v>45.795371199999991</v>
      </c>
      <c r="CI43" s="3">
        <f t="shared" si="37"/>
        <v>129.61282120000001</v>
      </c>
      <c r="CJ43" s="3">
        <f t="shared" si="40"/>
        <v>49.483339000000015</v>
      </c>
      <c r="CK43" s="3">
        <f t="shared" si="43"/>
        <v>77.633584799999994</v>
      </c>
      <c r="CL43" s="3">
        <f t="shared" si="46"/>
        <v>372.52199999999999</v>
      </c>
      <c r="CM43" s="3">
        <f t="shared" si="49"/>
        <v>372.52199999999999</v>
      </c>
      <c r="CN43" s="3">
        <f t="shared" si="52"/>
        <v>372.52199999999999</v>
      </c>
      <c r="CO43" s="3">
        <f t="shared" si="55"/>
        <v>372.52199999999999</v>
      </c>
      <c r="CP43" s="3">
        <f t="shared" si="58"/>
        <v>372.52199999999999</v>
      </c>
      <c r="CQ43" s="3">
        <f t="shared" si="61"/>
        <v>372.52199999999999</v>
      </c>
      <c r="CR43" s="3">
        <f t="shared" si="64"/>
        <v>372.52199999999999</v>
      </c>
      <c r="CS43" s="3">
        <f t="shared" si="67"/>
        <v>372.52199999999999</v>
      </c>
      <c r="CT43" s="3">
        <f t="shared" si="71"/>
        <v>372.52199999999999</v>
      </c>
      <c r="CU43" s="3">
        <f t="shared" si="74"/>
        <v>372.52199999999999</v>
      </c>
      <c r="CV43" s="3">
        <f t="shared" ref="CV43:CV62" si="77">IF($D24&lt;=20,$H$4*($H$10*$H$11*$H$12-$H$13*$H$14*$H$15)*$BZ$42/20,0)</f>
        <v>372.52199999999999</v>
      </c>
      <c r="CW43" s="3">
        <f>IF($D23&lt;=20,$H$4*($H$10*$H$11*$H$12-$H$13*$H$14*$H$15)*$BZ$42/20,0)</f>
        <v>372.52199999999999</v>
      </c>
      <c r="CX43" s="3"/>
      <c r="CY43" s="3"/>
      <c r="CZ43" s="3"/>
      <c r="DA43" s="3"/>
      <c r="DB43" s="3"/>
      <c r="DC43" s="3"/>
      <c r="DD43" s="3"/>
      <c r="DE43" s="3"/>
      <c r="DF43" s="3"/>
      <c r="DG43" s="8">
        <f t="shared" si="16"/>
        <v>5966.9488428249997</v>
      </c>
      <c r="DH43" s="65">
        <f t="shared" si="17"/>
        <v>0.49426421424732897</v>
      </c>
    </row>
    <row r="44" spans="4:112" x14ac:dyDescent="0.4">
      <c r="D44" s="9">
        <f t="shared" si="68"/>
        <v>22</v>
      </c>
      <c r="E44" s="9">
        <f t="shared" si="68"/>
        <v>2038</v>
      </c>
      <c r="F44" s="8">
        <v>50703.356</v>
      </c>
      <c r="G44" s="44">
        <v>300</v>
      </c>
      <c r="H44" s="37">
        <f t="shared" si="1"/>
        <v>48</v>
      </c>
      <c r="I44" s="8">
        <f t="shared" si="2"/>
        <v>4076.9384824960002</v>
      </c>
      <c r="J44" s="8">
        <f t="shared" si="25"/>
        <v>189.50399999999996</v>
      </c>
      <c r="K44" s="3">
        <f t="shared" si="3"/>
        <v>0</v>
      </c>
      <c r="L44" s="3">
        <f t="shared" si="19"/>
        <v>0</v>
      </c>
      <c r="M44" s="3">
        <f t="shared" si="22"/>
        <v>48.521238848000017</v>
      </c>
      <c r="N44" s="3">
        <f t="shared" si="26"/>
        <v>22.089064511999997</v>
      </c>
      <c r="O44" s="3">
        <f t="shared" si="29"/>
        <v>28.528231455999993</v>
      </c>
      <c r="P44" s="3">
        <f t="shared" si="32"/>
        <v>7.3272593919999993</v>
      </c>
      <c r="Q44" s="3">
        <f t="shared" si="35"/>
        <v>20.738051391999999</v>
      </c>
      <c r="R44" s="3">
        <f t="shared" si="38"/>
        <v>7.9173342400000024</v>
      </c>
      <c r="S44" s="3">
        <f t="shared" si="41"/>
        <v>12.421373568000002</v>
      </c>
      <c r="T44" s="3">
        <f t="shared" si="44"/>
        <v>59.603519999999989</v>
      </c>
      <c r="U44" s="3">
        <f t="shared" si="47"/>
        <v>59.603519999999989</v>
      </c>
      <c r="V44" s="3">
        <f t="shared" si="50"/>
        <v>59.603519999999989</v>
      </c>
      <c r="W44" s="3">
        <f t="shared" si="53"/>
        <v>59.603519999999989</v>
      </c>
      <c r="X44" s="3">
        <f t="shared" si="56"/>
        <v>59.603519999999989</v>
      </c>
      <c r="Y44" s="3">
        <f t="shared" si="59"/>
        <v>59.603519999999989</v>
      </c>
      <c r="Z44" s="3">
        <f t="shared" si="62"/>
        <v>59.603519999999989</v>
      </c>
      <c r="AA44" s="3">
        <f t="shared" si="65"/>
        <v>59.603519999999989</v>
      </c>
      <c r="AB44" s="3">
        <f t="shared" si="69"/>
        <v>59.603519999999989</v>
      </c>
      <c r="AC44" s="3">
        <f t="shared" si="72"/>
        <v>59.603519999999989</v>
      </c>
      <c r="AD44" s="3">
        <f t="shared" si="75"/>
        <v>59.603519999999989</v>
      </c>
      <c r="AE44" s="3">
        <f t="shared" ref="AE44:AE62" si="78">IF($D24&lt;=20,$H$4*($H$10*$H$11*$H$12-$H$13*$H$14*$H$15)*$H$42/20,0)</f>
        <v>59.603519999999989</v>
      </c>
      <c r="AF44" s="3">
        <f>IF($D23&lt;=20,$H$4*($H$10*$H$11*$H$12-$H$13*$H$14*$H$15)*$H$43/20,0)</f>
        <v>59.603519999999989</v>
      </c>
      <c r="AG44" s="3"/>
      <c r="AH44" s="3"/>
      <c r="AI44" s="3"/>
      <c r="AJ44" s="3"/>
      <c r="AK44" s="3"/>
      <c r="AL44" s="3"/>
      <c r="AM44" s="3"/>
      <c r="AN44" s="3"/>
      <c r="AO44" s="8">
        <f t="shared" si="4"/>
        <v>922.38831340800004</v>
      </c>
      <c r="AP44" s="53">
        <f t="shared" si="5"/>
        <v>8.0407665372209294E-2</v>
      </c>
      <c r="AQ44" s="37">
        <f t="shared" si="6"/>
        <v>150</v>
      </c>
      <c r="AR44" s="8">
        <f t="shared" si="7"/>
        <v>12740.432757799997</v>
      </c>
      <c r="AS44" s="8">
        <f t="shared" si="8"/>
        <v>592.19999999999982</v>
      </c>
      <c r="AT44" s="3">
        <f t="shared" si="9"/>
        <v>0</v>
      </c>
      <c r="AU44" s="3">
        <f t="shared" si="20"/>
        <v>0</v>
      </c>
      <c r="AV44" s="3">
        <f t="shared" si="23"/>
        <v>151.62887140000004</v>
      </c>
      <c r="AW44" s="3">
        <f t="shared" si="27"/>
        <v>69.028326599999986</v>
      </c>
      <c r="AX44" s="3">
        <f t="shared" si="30"/>
        <v>89.150723299999981</v>
      </c>
      <c r="AY44" s="3">
        <f t="shared" si="33"/>
        <v>22.897685599999996</v>
      </c>
      <c r="AZ44" s="3">
        <f t="shared" si="36"/>
        <v>64.806410600000007</v>
      </c>
      <c r="BA44" s="3">
        <f t="shared" si="39"/>
        <v>24.741669500000008</v>
      </c>
      <c r="BB44" s="3">
        <f t="shared" si="42"/>
        <v>38.816792399999997</v>
      </c>
      <c r="BC44" s="3">
        <f t="shared" si="45"/>
        <v>186.261</v>
      </c>
      <c r="BD44" s="3">
        <f t="shared" si="48"/>
        <v>186.261</v>
      </c>
      <c r="BE44" s="3">
        <f t="shared" si="51"/>
        <v>186.261</v>
      </c>
      <c r="BF44" s="3">
        <f t="shared" si="54"/>
        <v>186.261</v>
      </c>
      <c r="BG44" s="3">
        <f t="shared" si="57"/>
        <v>186.261</v>
      </c>
      <c r="BH44" s="3">
        <f t="shared" si="60"/>
        <v>186.261</v>
      </c>
      <c r="BI44" s="3">
        <f t="shared" si="63"/>
        <v>186.261</v>
      </c>
      <c r="BJ44" s="3">
        <f t="shared" si="66"/>
        <v>186.261</v>
      </c>
      <c r="BK44" s="3">
        <f t="shared" si="70"/>
        <v>186.261</v>
      </c>
      <c r="BL44" s="3">
        <f t="shared" si="73"/>
        <v>186.261</v>
      </c>
      <c r="BM44" s="3">
        <f t="shared" si="76"/>
        <v>186.261</v>
      </c>
      <c r="BN44" s="3">
        <f t="shared" ref="BN44:BN62" si="79">IF($D24&lt;=20,$H$4*($H$10*$H$11*$H$12-$H$13*$H$14*$H$15)*$AQ$42/20,0)</f>
        <v>186.261</v>
      </c>
      <c r="BO44" s="3">
        <f>IF($D23&lt;=20,$H$4*($H$10*$H$11*$H$12-$H$13*$H$14*$H$15)*$AQ$43/20,0)</f>
        <v>186.261</v>
      </c>
      <c r="BP44" s="3"/>
      <c r="BQ44" s="3"/>
      <c r="BR44" s="3"/>
      <c r="BS44" s="3"/>
      <c r="BT44" s="3"/>
      <c r="BU44" s="3"/>
      <c r="BV44" s="3"/>
      <c r="BW44" s="3"/>
      <c r="BX44" s="8">
        <f t="shared" si="10"/>
        <v>2882.4634793999999</v>
      </c>
      <c r="BY44" s="65">
        <f t="shared" si="11"/>
        <v>0.25127395428815397</v>
      </c>
      <c r="BZ44" s="37">
        <f t="shared" si="12"/>
        <v>300</v>
      </c>
      <c r="CA44" s="8">
        <f t="shared" si="13"/>
        <v>25480.865515599995</v>
      </c>
      <c r="CB44" s="8">
        <f t="shared" si="14"/>
        <v>1184.3999999999996</v>
      </c>
      <c r="CC44" s="3">
        <f t="shared" si="15"/>
        <v>0</v>
      </c>
      <c r="CD44" s="3">
        <f t="shared" si="21"/>
        <v>0</v>
      </c>
      <c r="CE44" s="3">
        <f t="shared" si="24"/>
        <v>303.25774280000007</v>
      </c>
      <c r="CF44" s="3">
        <f t="shared" si="28"/>
        <v>138.05665319999997</v>
      </c>
      <c r="CG44" s="3">
        <f t="shared" si="31"/>
        <v>178.30144659999996</v>
      </c>
      <c r="CH44" s="3">
        <f t="shared" si="34"/>
        <v>45.795371199999991</v>
      </c>
      <c r="CI44" s="3">
        <f t="shared" si="37"/>
        <v>129.61282120000001</v>
      </c>
      <c r="CJ44" s="3">
        <f t="shared" si="40"/>
        <v>49.483339000000015</v>
      </c>
      <c r="CK44" s="3">
        <f t="shared" si="43"/>
        <v>77.633584799999994</v>
      </c>
      <c r="CL44" s="3">
        <f t="shared" si="46"/>
        <v>372.52199999999999</v>
      </c>
      <c r="CM44" s="3">
        <f t="shared" si="49"/>
        <v>372.52199999999999</v>
      </c>
      <c r="CN44" s="3">
        <f t="shared" si="52"/>
        <v>372.52199999999999</v>
      </c>
      <c r="CO44" s="3">
        <f t="shared" si="55"/>
        <v>372.52199999999999</v>
      </c>
      <c r="CP44" s="3">
        <f t="shared" si="58"/>
        <v>372.52199999999999</v>
      </c>
      <c r="CQ44" s="3">
        <f t="shared" si="61"/>
        <v>372.52199999999999</v>
      </c>
      <c r="CR44" s="3">
        <f t="shared" si="64"/>
        <v>372.52199999999999</v>
      </c>
      <c r="CS44" s="3">
        <f t="shared" si="67"/>
        <v>372.52199999999999</v>
      </c>
      <c r="CT44" s="3">
        <f t="shared" si="71"/>
        <v>372.52199999999999</v>
      </c>
      <c r="CU44" s="3">
        <f t="shared" si="74"/>
        <v>372.52199999999999</v>
      </c>
      <c r="CV44" s="3">
        <f t="shared" si="77"/>
        <v>372.52199999999999</v>
      </c>
      <c r="CW44" s="3">
        <f t="shared" ref="CW44:CW62" si="80">IF($D24&lt;=20,$H$4*($H$10*$H$11*$H$12-$H$13*$H$14*$H$15)*$BZ$42/20,0)</f>
        <v>372.52199999999999</v>
      </c>
      <c r="CX44" s="3">
        <f>IF($D23&lt;=20,$H$4*($H$10*$H$11*$H$12-$H$13*$H$14*$H$15)*$BZ$43/20,0)</f>
        <v>372.52199999999999</v>
      </c>
      <c r="CY44" s="3"/>
      <c r="CZ44" s="3"/>
      <c r="DA44" s="3"/>
      <c r="DB44" s="3"/>
      <c r="DC44" s="3"/>
      <c r="DD44" s="3"/>
      <c r="DE44" s="3"/>
      <c r="DF44" s="3"/>
      <c r="DG44" s="8">
        <f t="shared" si="16"/>
        <v>5764.9269587999997</v>
      </c>
      <c r="DH44" s="65">
        <f t="shared" si="17"/>
        <v>0.48030150735622773</v>
      </c>
    </row>
    <row r="45" spans="4:112" x14ac:dyDescent="0.4">
      <c r="D45" s="9">
        <f t="shared" si="68"/>
        <v>23</v>
      </c>
      <c r="E45" s="9">
        <f t="shared" si="68"/>
        <v>2039</v>
      </c>
      <c r="F45" s="8">
        <v>50866.977333333336</v>
      </c>
      <c r="G45" s="44">
        <v>300</v>
      </c>
      <c r="H45" s="37">
        <f t="shared" si="1"/>
        <v>48</v>
      </c>
      <c r="I45" s="8">
        <f t="shared" si="2"/>
        <v>4117.5735133866665</v>
      </c>
      <c r="J45" s="8">
        <f t="shared" si="25"/>
        <v>189.50399999999996</v>
      </c>
      <c r="K45" s="3">
        <f t="shared" si="3"/>
        <v>0</v>
      </c>
      <c r="L45" s="3">
        <f t="shared" si="19"/>
        <v>0</v>
      </c>
      <c r="M45" s="3">
        <f t="shared" si="22"/>
        <v>0</v>
      </c>
      <c r="N45" s="3">
        <f t="shared" si="26"/>
        <v>22.089064511999997</v>
      </c>
      <c r="O45" s="3">
        <f t="shared" si="29"/>
        <v>28.528231455999993</v>
      </c>
      <c r="P45" s="3">
        <f t="shared" si="32"/>
        <v>7.3272593919999993</v>
      </c>
      <c r="Q45" s="3">
        <f t="shared" si="35"/>
        <v>20.738051391999999</v>
      </c>
      <c r="R45" s="3">
        <f t="shared" si="38"/>
        <v>7.9173342400000024</v>
      </c>
      <c r="S45" s="3">
        <f t="shared" si="41"/>
        <v>12.421373568000002</v>
      </c>
      <c r="T45" s="3">
        <f t="shared" si="44"/>
        <v>59.603519999999989</v>
      </c>
      <c r="U45" s="3">
        <f t="shared" si="47"/>
        <v>59.603519999999989</v>
      </c>
      <c r="V45" s="3">
        <f t="shared" si="50"/>
        <v>59.603519999999989</v>
      </c>
      <c r="W45" s="3">
        <f t="shared" si="53"/>
        <v>59.603519999999989</v>
      </c>
      <c r="X45" s="3">
        <f t="shared" si="56"/>
        <v>59.603519999999989</v>
      </c>
      <c r="Y45" s="3">
        <f t="shared" si="59"/>
        <v>59.603519999999989</v>
      </c>
      <c r="Z45" s="3">
        <f t="shared" si="62"/>
        <v>59.603519999999989</v>
      </c>
      <c r="AA45" s="3">
        <f t="shared" si="65"/>
        <v>59.603519999999989</v>
      </c>
      <c r="AB45" s="3">
        <f t="shared" si="69"/>
        <v>59.603519999999989</v>
      </c>
      <c r="AC45" s="3">
        <f t="shared" si="72"/>
        <v>59.603519999999989</v>
      </c>
      <c r="AD45" s="3">
        <f t="shared" si="75"/>
        <v>59.603519999999989</v>
      </c>
      <c r="AE45" s="3">
        <f t="shared" si="78"/>
        <v>59.603519999999989</v>
      </c>
      <c r="AF45" s="3">
        <f t="shared" ref="AF45:AF62" si="81">IF($D24&lt;=20,$H$4*($H$10*$H$11*$H$12-$H$13*$H$14*$H$15)*$H$43/20,0)</f>
        <v>59.603519999999989</v>
      </c>
      <c r="AG45" s="3">
        <f>IF($D23&lt;=20,$H$4*($H$10*$H$11*$H$12-$H$13*$H$14*$H$15)*$H$44/20,0)</f>
        <v>59.603519999999989</v>
      </c>
      <c r="AH45" s="3"/>
      <c r="AI45" s="3"/>
      <c r="AJ45" s="3"/>
      <c r="AK45" s="3"/>
      <c r="AL45" s="3"/>
      <c r="AM45" s="3"/>
      <c r="AN45" s="3"/>
      <c r="AO45" s="8">
        <f t="shared" si="4"/>
        <v>933.47059455999999</v>
      </c>
      <c r="AP45" s="53">
        <f t="shared" si="5"/>
        <v>8.0947870882990408E-2</v>
      </c>
      <c r="AQ45" s="37">
        <f t="shared" si="6"/>
        <v>150</v>
      </c>
      <c r="AR45" s="8">
        <f t="shared" si="7"/>
        <v>12867.41722933333</v>
      </c>
      <c r="AS45" s="8">
        <f t="shared" si="8"/>
        <v>592.19999999999982</v>
      </c>
      <c r="AT45" s="3">
        <f t="shared" si="9"/>
        <v>0</v>
      </c>
      <c r="AU45" s="3">
        <f t="shared" si="20"/>
        <v>0</v>
      </c>
      <c r="AV45" s="3">
        <f t="shared" si="23"/>
        <v>0</v>
      </c>
      <c r="AW45" s="3">
        <f t="shared" si="27"/>
        <v>69.028326599999986</v>
      </c>
      <c r="AX45" s="3">
        <f t="shared" si="30"/>
        <v>89.150723299999981</v>
      </c>
      <c r="AY45" s="3">
        <f t="shared" si="33"/>
        <v>22.897685599999996</v>
      </c>
      <c r="AZ45" s="3">
        <f t="shared" si="36"/>
        <v>64.806410600000007</v>
      </c>
      <c r="BA45" s="3">
        <f t="shared" si="39"/>
        <v>24.741669500000008</v>
      </c>
      <c r="BB45" s="3">
        <f t="shared" si="42"/>
        <v>38.816792399999997</v>
      </c>
      <c r="BC45" s="3">
        <f t="shared" si="45"/>
        <v>186.261</v>
      </c>
      <c r="BD45" s="3">
        <f t="shared" si="48"/>
        <v>186.261</v>
      </c>
      <c r="BE45" s="3">
        <f t="shared" si="51"/>
        <v>186.261</v>
      </c>
      <c r="BF45" s="3">
        <f t="shared" si="54"/>
        <v>186.261</v>
      </c>
      <c r="BG45" s="3">
        <f t="shared" si="57"/>
        <v>186.261</v>
      </c>
      <c r="BH45" s="3">
        <f t="shared" si="60"/>
        <v>186.261</v>
      </c>
      <c r="BI45" s="3">
        <f t="shared" si="63"/>
        <v>186.261</v>
      </c>
      <c r="BJ45" s="3">
        <f t="shared" si="66"/>
        <v>186.261</v>
      </c>
      <c r="BK45" s="3">
        <f t="shared" si="70"/>
        <v>186.261</v>
      </c>
      <c r="BL45" s="3">
        <f t="shared" si="73"/>
        <v>186.261</v>
      </c>
      <c r="BM45" s="3">
        <f t="shared" si="76"/>
        <v>186.261</v>
      </c>
      <c r="BN45" s="3">
        <f t="shared" si="79"/>
        <v>186.261</v>
      </c>
      <c r="BO45" s="3">
        <f t="shared" ref="BO45:BO62" si="82">IF($D24&lt;=20,$H$4*($H$10*$H$11*$H$12-$H$13*$H$14*$H$15)*$AQ$43/20,0)</f>
        <v>186.261</v>
      </c>
      <c r="BP45" s="3">
        <f>IF($D23&lt;=20,$H$4*($H$10*$H$11*$H$12-$H$13*$H$14*$H$15)*$AQ$44/20,0)</f>
        <v>186.261</v>
      </c>
      <c r="BQ45" s="3"/>
      <c r="BR45" s="3"/>
      <c r="BS45" s="3"/>
      <c r="BT45" s="3"/>
      <c r="BU45" s="3"/>
      <c r="BV45" s="3"/>
      <c r="BW45" s="3"/>
      <c r="BX45" s="8">
        <f t="shared" si="10"/>
        <v>2917.0956079999996</v>
      </c>
      <c r="BY45" s="65">
        <f t="shared" si="11"/>
        <v>0.25296209650934498</v>
      </c>
      <c r="BZ45" s="37">
        <f t="shared" si="12"/>
        <v>300</v>
      </c>
      <c r="CA45" s="8">
        <f t="shared" si="13"/>
        <v>25734.834458666661</v>
      </c>
      <c r="CB45" s="8">
        <f t="shared" si="14"/>
        <v>1184.3999999999996</v>
      </c>
      <c r="CC45" s="3">
        <f t="shared" si="15"/>
        <v>0</v>
      </c>
      <c r="CD45" s="3">
        <f t="shared" si="21"/>
        <v>0</v>
      </c>
      <c r="CE45" s="3">
        <f t="shared" si="24"/>
        <v>0</v>
      </c>
      <c r="CF45" s="3">
        <f t="shared" si="28"/>
        <v>138.05665319999997</v>
      </c>
      <c r="CG45" s="3">
        <f t="shared" si="31"/>
        <v>178.30144659999996</v>
      </c>
      <c r="CH45" s="3">
        <f t="shared" si="34"/>
        <v>45.795371199999991</v>
      </c>
      <c r="CI45" s="3">
        <f t="shared" si="37"/>
        <v>129.61282120000001</v>
      </c>
      <c r="CJ45" s="3">
        <f t="shared" si="40"/>
        <v>49.483339000000015</v>
      </c>
      <c r="CK45" s="3">
        <f t="shared" si="43"/>
        <v>77.633584799999994</v>
      </c>
      <c r="CL45" s="3">
        <f t="shared" si="46"/>
        <v>372.52199999999999</v>
      </c>
      <c r="CM45" s="3">
        <f t="shared" si="49"/>
        <v>372.52199999999999</v>
      </c>
      <c r="CN45" s="3">
        <f t="shared" si="52"/>
        <v>372.52199999999999</v>
      </c>
      <c r="CO45" s="3">
        <f t="shared" si="55"/>
        <v>372.52199999999999</v>
      </c>
      <c r="CP45" s="3">
        <f t="shared" si="58"/>
        <v>372.52199999999999</v>
      </c>
      <c r="CQ45" s="3">
        <f t="shared" si="61"/>
        <v>372.52199999999999</v>
      </c>
      <c r="CR45" s="3">
        <f t="shared" si="64"/>
        <v>372.52199999999999</v>
      </c>
      <c r="CS45" s="3">
        <f t="shared" si="67"/>
        <v>372.52199999999999</v>
      </c>
      <c r="CT45" s="3">
        <f t="shared" si="71"/>
        <v>372.52199999999999</v>
      </c>
      <c r="CU45" s="3">
        <f t="shared" si="74"/>
        <v>372.52199999999999</v>
      </c>
      <c r="CV45" s="3">
        <f t="shared" si="77"/>
        <v>372.52199999999999</v>
      </c>
      <c r="CW45" s="3">
        <f t="shared" si="80"/>
        <v>372.52199999999999</v>
      </c>
      <c r="CX45" s="3">
        <f t="shared" ref="CX45:CX62" si="83">IF($D24&lt;=20,$H$4*($H$10*$H$11*$H$12-$H$13*$H$14*$H$15)*$BZ$43/20,0)</f>
        <v>372.52199999999999</v>
      </c>
      <c r="CY45" s="3">
        <f>IF($D23&lt;=20,$H$4*($H$10*$H$11*$H$12-$H$13*$H$14*$H$15)*$BZ$44/20,0)</f>
        <v>372.52199999999999</v>
      </c>
      <c r="CZ45" s="3"/>
      <c r="DA45" s="3"/>
      <c r="DB45" s="3"/>
      <c r="DC45" s="3"/>
      <c r="DD45" s="3"/>
      <c r="DE45" s="3"/>
      <c r="DF45" s="3"/>
      <c r="DG45" s="8">
        <f t="shared" si="16"/>
        <v>5834.1912159999993</v>
      </c>
      <c r="DH45" s="65">
        <f t="shared" si="17"/>
        <v>0.485088694278976</v>
      </c>
    </row>
    <row r="46" spans="4:112" x14ac:dyDescent="0.4">
      <c r="D46" s="9">
        <f t="shared" si="68"/>
        <v>24</v>
      </c>
      <c r="E46" s="9">
        <f t="shared" si="68"/>
        <v>2040</v>
      </c>
      <c r="F46" s="8">
        <v>51420.849333333332</v>
      </c>
      <c r="G46" s="44">
        <v>300</v>
      </c>
      <c r="H46" s="37">
        <f t="shared" si="1"/>
        <v>48</v>
      </c>
      <c r="I46" s="8">
        <f t="shared" si="2"/>
        <v>4255.1265168426662</v>
      </c>
      <c r="J46" s="8">
        <f t="shared" si="25"/>
        <v>189.50399999999996</v>
      </c>
      <c r="K46" s="3">
        <f t="shared" si="3"/>
        <v>0</v>
      </c>
      <c r="L46" s="3">
        <f t="shared" si="19"/>
        <v>0</v>
      </c>
      <c r="M46" s="3">
        <f t="shared" si="22"/>
        <v>0</v>
      </c>
      <c r="N46" s="3">
        <f t="shared" si="26"/>
        <v>0</v>
      </c>
      <c r="O46" s="3">
        <f t="shared" si="29"/>
        <v>28.528231455999993</v>
      </c>
      <c r="P46" s="3">
        <f t="shared" si="32"/>
        <v>7.3272593919999993</v>
      </c>
      <c r="Q46" s="3">
        <f t="shared" si="35"/>
        <v>20.738051391999999</v>
      </c>
      <c r="R46" s="3">
        <f t="shared" si="38"/>
        <v>7.9173342400000024</v>
      </c>
      <c r="S46" s="3">
        <f t="shared" si="41"/>
        <v>12.421373568000002</v>
      </c>
      <c r="T46" s="3">
        <f t="shared" si="44"/>
        <v>59.603519999999989</v>
      </c>
      <c r="U46" s="3">
        <f t="shared" si="47"/>
        <v>59.603519999999989</v>
      </c>
      <c r="V46" s="3">
        <f t="shared" si="50"/>
        <v>59.603519999999989</v>
      </c>
      <c r="W46" s="3">
        <f t="shared" si="53"/>
        <v>59.603519999999989</v>
      </c>
      <c r="X46" s="3">
        <f t="shared" si="56"/>
        <v>59.603519999999989</v>
      </c>
      <c r="Y46" s="3">
        <f t="shared" si="59"/>
        <v>59.603519999999989</v>
      </c>
      <c r="Z46" s="3">
        <f t="shared" si="62"/>
        <v>59.603519999999989</v>
      </c>
      <c r="AA46" s="3">
        <f t="shared" si="65"/>
        <v>59.603519999999989</v>
      </c>
      <c r="AB46" s="3">
        <f t="shared" si="69"/>
        <v>59.603519999999989</v>
      </c>
      <c r="AC46" s="3">
        <f t="shared" si="72"/>
        <v>59.603519999999989</v>
      </c>
      <c r="AD46" s="3">
        <f t="shared" si="75"/>
        <v>59.603519999999989</v>
      </c>
      <c r="AE46" s="3">
        <f t="shared" si="78"/>
        <v>59.603519999999989</v>
      </c>
      <c r="AF46" s="3">
        <f t="shared" si="81"/>
        <v>59.603519999999989</v>
      </c>
      <c r="AG46" s="3">
        <f t="shared" ref="AG46:AG62" si="84">IF($D24&lt;=20,$H$4*($H$10*$H$11*$H$12-$H$13*$H$14*$H$15)*$H$44/20,0)</f>
        <v>59.603519999999989</v>
      </c>
      <c r="AH46" s="3">
        <f>IF($D23&lt;=20,$H$4*($H$10*$H$11*$H$12-$H$13*$H$14*$H$15)*$H$45/20,0)</f>
        <v>59.603519999999989</v>
      </c>
      <c r="AI46" s="3"/>
      <c r="AJ46" s="3"/>
      <c r="AK46" s="3"/>
      <c r="AL46" s="3"/>
      <c r="AM46" s="3"/>
      <c r="AN46" s="3"/>
      <c r="AO46" s="8">
        <f t="shared" si="4"/>
        <v>970.98505004799995</v>
      </c>
      <c r="AP46" s="53">
        <f t="shared" si="5"/>
        <v>8.2750996376178096E-2</v>
      </c>
      <c r="AQ46" s="37">
        <f t="shared" si="6"/>
        <v>150</v>
      </c>
      <c r="AR46" s="8">
        <f t="shared" si="7"/>
        <v>13297.27036513333</v>
      </c>
      <c r="AS46" s="8">
        <f t="shared" si="8"/>
        <v>592.19999999999982</v>
      </c>
      <c r="AT46" s="3">
        <f t="shared" si="9"/>
        <v>0</v>
      </c>
      <c r="AU46" s="3">
        <f t="shared" si="20"/>
        <v>0</v>
      </c>
      <c r="AV46" s="3">
        <f t="shared" si="23"/>
        <v>0</v>
      </c>
      <c r="AW46" s="3">
        <f t="shared" si="27"/>
        <v>0</v>
      </c>
      <c r="AX46" s="3">
        <f t="shared" si="30"/>
        <v>89.150723299999981</v>
      </c>
      <c r="AY46" s="3">
        <f t="shared" si="33"/>
        <v>22.897685599999996</v>
      </c>
      <c r="AZ46" s="3">
        <f t="shared" si="36"/>
        <v>64.806410600000007</v>
      </c>
      <c r="BA46" s="3">
        <f t="shared" si="39"/>
        <v>24.741669500000008</v>
      </c>
      <c r="BB46" s="3">
        <f t="shared" si="42"/>
        <v>38.816792399999997</v>
      </c>
      <c r="BC46" s="3">
        <f t="shared" si="45"/>
        <v>186.261</v>
      </c>
      <c r="BD46" s="3">
        <f t="shared" si="48"/>
        <v>186.261</v>
      </c>
      <c r="BE46" s="3">
        <f t="shared" si="51"/>
        <v>186.261</v>
      </c>
      <c r="BF46" s="3">
        <f t="shared" si="54"/>
        <v>186.261</v>
      </c>
      <c r="BG46" s="3">
        <f t="shared" si="57"/>
        <v>186.261</v>
      </c>
      <c r="BH46" s="3">
        <f t="shared" si="60"/>
        <v>186.261</v>
      </c>
      <c r="BI46" s="3">
        <f t="shared" si="63"/>
        <v>186.261</v>
      </c>
      <c r="BJ46" s="3">
        <f t="shared" si="66"/>
        <v>186.261</v>
      </c>
      <c r="BK46" s="3">
        <f t="shared" si="70"/>
        <v>186.261</v>
      </c>
      <c r="BL46" s="3">
        <f t="shared" si="73"/>
        <v>186.261</v>
      </c>
      <c r="BM46" s="3">
        <f t="shared" si="76"/>
        <v>186.261</v>
      </c>
      <c r="BN46" s="3">
        <f t="shared" si="79"/>
        <v>186.261</v>
      </c>
      <c r="BO46" s="3">
        <f t="shared" si="82"/>
        <v>186.261</v>
      </c>
      <c r="BP46" s="3">
        <f t="shared" ref="BP46:BP62" si="85">IF($D24&lt;=20,$H$4*($H$10*$H$11*$H$12-$H$13*$H$14*$H$15)*$AQ$44/20,0)</f>
        <v>186.261</v>
      </c>
      <c r="BQ46" s="3">
        <f>IF($D23&lt;=20,$H$4*($H$10*$H$11*$H$12-$H$13*$H$14*$H$15)*$AQ$45/20,0)</f>
        <v>186.261</v>
      </c>
      <c r="BR46" s="3"/>
      <c r="BS46" s="3"/>
      <c r="BT46" s="3"/>
      <c r="BU46" s="3"/>
      <c r="BV46" s="3"/>
      <c r="BW46" s="3"/>
      <c r="BX46" s="8">
        <f t="shared" si="10"/>
        <v>3034.3282813999995</v>
      </c>
      <c r="BY46" s="65">
        <f t="shared" si="11"/>
        <v>0.25859686367555651</v>
      </c>
      <c r="BZ46" s="37">
        <f t="shared" si="12"/>
        <v>300</v>
      </c>
      <c r="CA46" s="8">
        <f t="shared" si="13"/>
        <v>26594.540730266661</v>
      </c>
      <c r="CB46" s="8">
        <f t="shared" si="14"/>
        <v>1184.3999999999996</v>
      </c>
      <c r="CC46" s="3">
        <f t="shared" si="15"/>
        <v>0</v>
      </c>
      <c r="CD46" s="3">
        <f t="shared" si="21"/>
        <v>0</v>
      </c>
      <c r="CE46" s="3">
        <f t="shared" si="24"/>
        <v>0</v>
      </c>
      <c r="CF46" s="3">
        <f t="shared" si="28"/>
        <v>0</v>
      </c>
      <c r="CG46" s="3">
        <f t="shared" si="31"/>
        <v>178.30144659999996</v>
      </c>
      <c r="CH46" s="3">
        <f t="shared" si="34"/>
        <v>45.795371199999991</v>
      </c>
      <c r="CI46" s="3">
        <f t="shared" si="37"/>
        <v>129.61282120000001</v>
      </c>
      <c r="CJ46" s="3">
        <f t="shared" si="40"/>
        <v>49.483339000000015</v>
      </c>
      <c r="CK46" s="3">
        <f t="shared" si="43"/>
        <v>77.633584799999994</v>
      </c>
      <c r="CL46" s="3">
        <f t="shared" si="46"/>
        <v>372.52199999999999</v>
      </c>
      <c r="CM46" s="3">
        <f t="shared" si="49"/>
        <v>372.52199999999999</v>
      </c>
      <c r="CN46" s="3">
        <f t="shared" si="52"/>
        <v>372.52199999999999</v>
      </c>
      <c r="CO46" s="3">
        <f t="shared" si="55"/>
        <v>372.52199999999999</v>
      </c>
      <c r="CP46" s="3">
        <f t="shared" si="58"/>
        <v>372.52199999999999</v>
      </c>
      <c r="CQ46" s="3">
        <f t="shared" si="61"/>
        <v>372.52199999999999</v>
      </c>
      <c r="CR46" s="3">
        <f t="shared" si="64"/>
        <v>372.52199999999999</v>
      </c>
      <c r="CS46" s="3">
        <f t="shared" si="67"/>
        <v>372.52199999999999</v>
      </c>
      <c r="CT46" s="3">
        <f t="shared" si="71"/>
        <v>372.52199999999999</v>
      </c>
      <c r="CU46" s="3">
        <f t="shared" si="74"/>
        <v>372.52199999999999</v>
      </c>
      <c r="CV46" s="3">
        <f t="shared" si="77"/>
        <v>372.52199999999999</v>
      </c>
      <c r="CW46" s="3">
        <f t="shared" si="80"/>
        <v>372.52199999999999</v>
      </c>
      <c r="CX46" s="3">
        <f t="shared" si="83"/>
        <v>372.52199999999999</v>
      </c>
      <c r="CY46" s="3">
        <f t="shared" ref="CY46:CY62" si="86">IF($D24&lt;=20,$H$4*($H$10*$H$11*$H$12-$H$13*$H$14*$H$15)*$BZ$44/20,0)</f>
        <v>372.52199999999999</v>
      </c>
      <c r="CZ46" s="3">
        <f>IF($D23&lt;=20,$H$4*($H$10*$H$11*$H$12-$H$13*$H$14*$H$15)*$BZ$45/20,0)</f>
        <v>372.52199999999999</v>
      </c>
      <c r="DA46" s="3"/>
      <c r="DB46" s="3"/>
      <c r="DC46" s="3"/>
      <c r="DD46" s="3"/>
      <c r="DE46" s="3"/>
      <c r="DF46" s="3"/>
      <c r="DG46" s="8">
        <f t="shared" si="16"/>
        <v>6068.6565627999989</v>
      </c>
      <c r="DH46" s="65">
        <f t="shared" si="17"/>
        <v>0.50129372537889227</v>
      </c>
    </row>
    <row r="47" spans="4:112" x14ac:dyDescent="0.4">
      <c r="D47" s="9">
        <f t="shared" si="68"/>
        <v>25</v>
      </c>
      <c r="E47" s="9">
        <f t="shared" si="68"/>
        <v>2041</v>
      </c>
      <c r="F47" s="8">
        <v>51879.652000000002</v>
      </c>
      <c r="G47" s="44">
        <v>300</v>
      </c>
      <c r="H47" s="37">
        <f t="shared" si="1"/>
        <v>48</v>
      </c>
      <c r="I47" s="8">
        <f t="shared" si="2"/>
        <v>4369.0692415040003</v>
      </c>
      <c r="J47" s="8">
        <f t="shared" si="25"/>
        <v>189.50399999999996</v>
      </c>
      <c r="K47" s="3">
        <f t="shared" si="3"/>
        <v>0</v>
      </c>
      <c r="L47" s="3">
        <f t="shared" si="19"/>
        <v>0</v>
      </c>
      <c r="M47" s="3">
        <f t="shared" si="22"/>
        <v>0</v>
      </c>
      <c r="N47" s="3">
        <f t="shared" si="26"/>
        <v>0</v>
      </c>
      <c r="O47" s="3">
        <f t="shared" si="29"/>
        <v>0</v>
      </c>
      <c r="P47" s="3">
        <f t="shared" si="32"/>
        <v>7.3272593919999993</v>
      </c>
      <c r="Q47" s="3">
        <f t="shared" si="35"/>
        <v>20.738051391999999</v>
      </c>
      <c r="R47" s="3">
        <f t="shared" si="38"/>
        <v>7.9173342400000024</v>
      </c>
      <c r="S47" s="3">
        <f t="shared" si="41"/>
        <v>12.421373568000002</v>
      </c>
      <c r="T47" s="3">
        <f t="shared" si="44"/>
        <v>59.603519999999989</v>
      </c>
      <c r="U47" s="3">
        <f t="shared" si="47"/>
        <v>59.603519999999989</v>
      </c>
      <c r="V47" s="3">
        <f t="shared" si="50"/>
        <v>59.603519999999989</v>
      </c>
      <c r="W47" s="3">
        <f t="shared" si="53"/>
        <v>59.603519999999989</v>
      </c>
      <c r="X47" s="3">
        <f t="shared" si="56"/>
        <v>59.603519999999989</v>
      </c>
      <c r="Y47" s="3">
        <f t="shared" si="59"/>
        <v>59.603519999999989</v>
      </c>
      <c r="Z47" s="3">
        <f t="shared" si="62"/>
        <v>59.603519999999989</v>
      </c>
      <c r="AA47" s="3">
        <f t="shared" si="65"/>
        <v>59.603519999999989</v>
      </c>
      <c r="AB47" s="3">
        <f t="shared" si="69"/>
        <v>59.603519999999989</v>
      </c>
      <c r="AC47" s="3">
        <f t="shared" si="72"/>
        <v>59.603519999999989</v>
      </c>
      <c r="AD47" s="3">
        <f t="shared" si="75"/>
        <v>59.603519999999989</v>
      </c>
      <c r="AE47" s="3">
        <f t="shared" si="78"/>
        <v>59.603519999999989</v>
      </c>
      <c r="AF47" s="3">
        <f t="shared" si="81"/>
        <v>59.603519999999989</v>
      </c>
      <c r="AG47" s="3">
        <f t="shared" si="84"/>
        <v>59.603519999999989</v>
      </c>
      <c r="AH47" s="3">
        <f t="shared" ref="AH47:AH62" si="87">IF($D24&lt;=20,$H$4*($H$10*$H$11*$H$12-$H$13*$H$14*$H$15)*$H$45/20,0)</f>
        <v>59.603519999999989</v>
      </c>
      <c r="AI47" s="3">
        <f>IF($D23&lt;=20,$H$4*($H$10*$H$11*$H$12-$H$13*$H$14*$H$15)*$H$46/20,0)</f>
        <v>59.603519999999989</v>
      </c>
      <c r="AJ47" s="3"/>
      <c r="AK47" s="3"/>
      <c r="AL47" s="3"/>
      <c r="AM47" s="3"/>
      <c r="AN47" s="3"/>
      <c r="AO47" s="8">
        <f t="shared" si="4"/>
        <v>1002.060338592</v>
      </c>
      <c r="AP47" s="53">
        <f t="shared" si="5"/>
        <v>8.4215469323194389E-2</v>
      </c>
      <c r="AQ47" s="37">
        <f t="shared" si="6"/>
        <v>150</v>
      </c>
      <c r="AR47" s="8">
        <f t="shared" si="7"/>
        <v>13653.341379699998</v>
      </c>
      <c r="AS47" s="8">
        <f t="shared" si="8"/>
        <v>592.19999999999982</v>
      </c>
      <c r="AT47" s="3">
        <f t="shared" si="9"/>
        <v>0</v>
      </c>
      <c r="AU47" s="3">
        <f t="shared" si="20"/>
        <v>0</v>
      </c>
      <c r="AV47" s="3">
        <f t="shared" si="23"/>
        <v>0</v>
      </c>
      <c r="AW47" s="3">
        <f t="shared" si="27"/>
        <v>0</v>
      </c>
      <c r="AX47" s="3">
        <f t="shared" si="30"/>
        <v>0</v>
      </c>
      <c r="AY47" s="3">
        <f t="shared" si="33"/>
        <v>22.897685599999996</v>
      </c>
      <c r="AZ47" s="3">
        <f t="shared" si="36"/>
        <v>64.806410600000007</v>
      </c>
      <c r="BA47" s="3">
        <f t="shared" si="39"/>
        <v>24.741669500000008</v>
      </c>
      <c r="BB47" s="3">
        <f t="shared" si="42"/>
        <v>38.816792399999997</v>
      </c>
      <c r="BC47" s="3">
        <f t="shared" si="45"/>
        <v>186.261</v>
      </c>
      <c r="BD47" s="3">
        <f t="shared" si="48"/>
        <v>186.261</v>
      </c>
      <c r="BE47" s="3">
        <f t="shared" si="51"/>
        <v>186.261</v>
      </c>
      <c r="BF47" s="3">
        <f t="shared" si="54"/>
        <v>186.261</v>
      </c>
      <c r="BG47" s="3">
        <f t="shared" si="57"/>
        <v>186.261</v>
      </c>
      <c r="BH47" s="3">
        <f t="shared" si="60"/>
        <v>186.261</v>
      </c>
      <c r="BI47" s="3">
        <f t="shared" si="63"/>
        <v>186.261</v>
      </c>
      <c r="BJ47" s="3">
        <f t="shared" si="66"/>
        <v>186.261</v>
      </c>
      <c r="BK47" s="3">
        <f t="shared" si="70"/>
        <v>186.261</v>
      </c>
      <c r="BL47" s="3">
        <f t="shared" si="73"/>
        <v>186.261</v>
      </c>
      <c r="BM47" s="3">
        <f t="shared" si="76"/>
        <v>186.261</v>
      </c>
      <c r="BN47" s="3">
        <f t="shared" si="79"/>
        <v>186.261</v>
      </c>
      <c r="BO47" s="3">
        <f t="shared" si="82"/>
        <v>186.261</v>
      </c>
      <c r="BP47" s="3">
        <f t="shared" si="85"/>
        <v>186.261</v>
      </c>
      <c r="BQ47" s="3">
        <f t="shared" ref="BQ47:BQ62" si="88">IF($D24&lt;=20,$H$4*($H$10*$H$11*$H$12-$H$13*$H$14*$H$15)*$AQ$45/20,0)</f>
        <v>186.261</v>
      </c>
      <c r="BR47" s="3">
        <f>IF($D23&lt;=20,$H$4*($H$10*$H$11*$H$12-$H$13*$H$14*$H$15)*$AQ$46/20,0)</f>
        <v>186.261</v>
      </c>
      <c r="BS47" s="3"/>
      <c r="BT47" s="3"/>
      <c r="BU47" s="3"/>
      <c r="BV47" s="3"/>
      <c r="BW47" s="3"/>
      <c r="BX47" s="8">
        <f t="shared" si="10"/>
        <v>3131.4385580999997</v>
      </c>
      <c r="BY47" s="65">
        <f t="shared" si="11"/>
        <v>0.26317334163498241</v>
      </c>
      <c r="BZ47" s="37">
        <f t="shared" si="12"/>
        <v>300</v>
      </c>
      <c r="CA47" s="8">
        <f t="shared" si="13"/>
        <v>27306.682759399995</v>
      </c>
      <c r="CB47" s="8">
        <f t="shared" si="14"/>
        <v>1184.3999999999996</v>
      </c>
      <c r="CC47" s="3">
        <f t="shared" si="15"/>
        <v>0</v>
      </c>
      <c r="CD47" s="3">
        <f t="shared" si="21"/>
        <v>0</v>
      </c>
      <c r="CE47" s="3">
        <f t="shared" si="24"/>
        <v>0</v>
      </c>
      <c r="CF47" s="3">
        <f t="shared" si="28"/>
        <v>0</v>
      </c>
      <c r="CG47" s="3">
        <f t="shared" si="31"/>
        <v>0</v>
      </c>
      <c r="CH47" s="3">
        <f t="shared" si="34"/>
        <v>45.795371199999991</v>
      </c>
      <c r="CI47" s="3">
        <f t="shared" si="37"/>
        <v>129.61282120000001</v>
      </c>
      <c r="CJ47" s="3">
        <f t="shared" si="40"/>
        <v>49.483339000000015</v>
      </c>
      <c r="CK47" s="3">
        <f t="shared" si="43"/>
        <v>77.633584799999994</v>
      </c>
      <c r="CL47" s="3">
        <f t="shared" si="46"/>
        <v>372.52199999999999</v>
      </c>
      <c r="CM47" s="3">
        <f t="shared" si="49"/>
        <v>372.52199999999999</v>
      </c>
      <c r="CN47" s="3">
        <f t="shared" si="52"/>
        <v>372.52199999999999</v>
      </c>
      <c r="CO47" s="3">
        <f t="shared" si="55"/>
        <v>372.52199999999999</v>
      </c>
      <c r="CP47" s="3">
        <f t="shared" si="58"/>
        <v>372.52199999999999</v>
      </c>
      <c r="CQ47" s="3">
        <f t="shared" si="61"/>
        <v>372.52199999999999</v>
      </c>
      <c r="CR47" s="3">
        <f t="shared" si="64"/>
        <v>372.52199999999999</v>
      </c>
      <c r="CS47" s="3">
        <f t="shared" si="67"/>
        <v>372.52199999999999</v>
      </c>
      <c r="CT47" s="3">
        <f t="shared" si="71"/>
        <v>372.52199999999999</v>
      </c>
      <c r="CU47" s="3">
        <f t="shared" si="74"/>
        <v>372.52199999999999</v>
      </c>
      <c r="CV47" s="3">
        <f t="shared" si="77"/>
        <v>372.52199999999999</v>
      </c>
      <c r="CW47" s="3">
        <f t="shared" si="80"/>
        <v>372.52199999999999</v>
      </c>
      <c r="CX47" s="3">
        <f t="shared" si="83"/>
        <v>372.52199999999999</v>
      </c>
      <c r="CY47" s="3">
        <f t="shared" si="86"/>
        <v>372.52199999999999</v>
      </c>
      <c r="CZ47" s="3">
        <f t="shared" ref="CZ47:CZ62" si="89">IF($D24&lt;=20,$H$4*($H$10*$H$11*$H$12-$H$13*$H$14*$H$15)*$BZ$45/20,0)</f>
        <v>372.52199999999999</v>
      </c>
      <c r="DA47" s="3">
        <f>IF($D23&lt;=20,$H$4*($H$10*$H$11*$H$12-$H$13*$H$14*$H$15)*$BZ$46/20,0)</f>
        <v>372.52199999999999</v>
      </c>
      <c r="DB47" s="3"/>
      <c r="DC47" s="3"/>
      <c r="DD47" s="3"/>
      <c r="DE47" s="3"/>
      <c r="DF47" s="3"/>
      <c r="DG47" s="8">
        <f t="shared" si="16"/>
        <v>6262.8771161999994</v>
      </c>
      <c r="DH47" s="65">
        <f t="shared" si="17"/>
        <v>0.51471724467948499</v>
      </c>
    </row>
    <row r="48" spans="4:112" x14ac:dyDescent="0.4">
      <c r="D48" s="9">
        <f t="shared" si="68"/>
        <v>26</v>
      </c>
      <c r="E48" s="9">
        <f t="shared" si="68"/>
        <v>2042</v>
      </c>
      <c r="F48" s="8">
        <v>52651.470666666668</v>
      </c>
      <c r="G48" s="44">
        <v>300</v>
      </c>
      <c r="H48" s="37">
        <f t="shared" si="1"/>
        <v>48</v>
      </c>
      <c r="I48" s="8">
        <f t="shared" si="2"/>
        <v>4560.7488637333327</v>
      </c>
      <c r="J48" s="8">
        <f t="shared" si="25"/>
        <v>189.50399999999996</v>
      </c>
      <c r="K48" s="3">
        <f t="shared" si="3"/>
        <v>0</v>
      </c>
      <c r="L48" s="3">
        <f t="shared" si="19"/>
        <v>0</v>
      </c>
      <c r="M48" s="3">
        <f t="shared" si="22"/>
        <v>0</v>
      </c>
      <c r="N48" s="3">
        <f t="shared" si="26"/>
        <v>0</v>
      </c>
      <c r="O48" s="3">
        <f t="shared" si="29"/>
        <v>0</v>
      </c>
      <c r="P48" s="3">
        <f t="shared" si="32"/>
        <v>0</v>
      </c>
      <c r="Q48" s="3">
        <f t="shared" si="35"/>
        <v>20.738051391999999</v>
      </c>
      <c r="R48" s="3">
        <f t="shared" si="38"/>
        <v>7.9173342400000024</v>
      </c>
      <c r="S48" s="3">
        <f t="shared" si="41"/>
        <v>12.421373568000002</v>
      </c>
      <c r="T48" s="3">
        <f t="shared" si="44"/>
        <v>59.603519999999989</v>
      </c>
      <c r="U48" s="3">
        <f t="shared" si="47"/>
        <v>59.603519999999989</v>
      </c>
      <c r="V48" s="3">
        <f t="shared" si="50"/>
        <v>59.603519999999989</v>
      </c>
      <c r="W48" s="3">
        <f t="shared" si="53"/>
        <v>59.603519999999989</v>
      </c>
      <c r="X48" s="3">
        <f t="shared" si="56"/>
        <v>59.603519999999989</v>
      </c>
      <c r="Y48" s="3">
        <f t="shared" si="59"/>
        <v>59.603519999999989</v>
      </c>
      <c r="Z48" s="3">
        <f t="shared" si="62"/>
        <v>59.603519999999989</v>
      </c>
      <c r="AA48" s="3">
        <f t="shared" si="65"/>
        <v>59.603519999999989</v>
      </c>
      <c r="AB48" s="3">
        <f t="shared" si="69"/>
        <v>59.603519999999989</v>
      </c>
      <c r="AC48" s="3">
        <f t="shared" si="72"/>
        <v>59.603519999999989</v>
      </c>
      <c r="AD48" s="3">
        <f t="shared" si="75"/>
        <v>59.603519999999989</v>
      </c>
      <c r="AE48" s="3">
        <f t="shared" si="78"/>
        <v>59.603519999999989</v>
      </c>
      <c r="AF48" s="3">
        <f t="shared" si="81"/>
        <v>59.603519999999989</v>
      </c>
      <c r="AG48" s="3">
        <f t="shared" si="84"/>
        <v>59.603519999999989</v>
      </c>
      <c r="AH48" s="3">
        <f t="shared" si="87"/>
        <v>59.603519999999989</v>
      </c>
      <c r="AI48" s="3">
        <f t="shared" ref="AI48:AI62" si="90">IF($D24&lt;=20,$H$4*($H$10*$H$11*$H$12-$H$13*$H$14*$H$15)*$H$46/20,0)</f>
        <v>59.603519999999989</v>
      </c>
      <c r="AJ48" s="3">
        <f>IF($D23&lt;=20,$H$4*($H$10*$H$11*$H$12-$H$13*$H$14*$H$15)*$H$47/20,0)</f>
        <v>59.603519999999989</v>
      </c>
      <c r="AK48" s="3"/>
      <c r="AL48" s="3"/>
      <c r="AM48" s="3"/>
      <c r="AN48" s="3"/>
      <c r="AO48" s="8">
        <f t="shared" si="4"/>
        <v>1054.3365991999999</v>
      </c>
      <c r="AP48" s="53">
        <f t="shared" si="5"/>
        <v>8.6621490453840558E-2</v>
      </c>
      <c r="AQ48" s="37">
        <f t="shared" si="6"/>
        <v>150</v>
      </c>
      <c r="AR48" s="8">
        <f t="shared" si="7"/>
        <v>14252.340199166665</v>
      </c>
      <c r="AS48" s="8">
        <f t="shared" si="8"/>
        <v>592.19999999999982</v>
      </c>
      <c r="AT48" s="3">
        <f t="shared" si="9"/>
        <v>0</v>
      </c>
      <c r="AU48" s="3">
        <f t="shared" si="20"/>
        <v>0</v>
      </c>
      <c r="AV48" s="3">
        <f t="shared" si="23"/>
        <v>0</v>
      </c>
      <c r="AW48" s="3">
        <f t="shared" si="27"/>
        <v>0</v>
      </c>
      <c r="AX48" s="3">
        <f t="shared" si="30"/>
        <v>0</v>
      </c>
      <c r="AY48" s="3">
        <f t="shared" si="33"/>
        <v>0</v>
      </c>
      <c r="AZ48" s="3">
        <f t="shared" si="36"/>
        <v>64.806410600000007</v>
      </c>
      <c r="BA48" s="3">
        <f t="shared" si="39"/>
        <v>24.741669500000008</v>
      </c>
      <c r="BB48" s="3">
        <f t="shared" si="42"/>
        <v>38.816792399999997</v>
      </c>
      <c r="BC48" s="3">
        <f t="shared" si="45"/>
        <v>186.261</v>
      </c>
      <c r="BD48" s="3">
        <f t="shared" si="48"/>
        <v>186.261</v>
      </c>
      <c r="BE48" s="3">
        <f t="shared" si="51"/>
        <v>186.261</v>
      </c>
      <c r="BF48" s="3">
        <f t="shared" si="54"/>
        <v>186.261</v>
      </c>
      <c r="BG48" s="3">
        <f t="shared" si="57"/>
        <v>186.261</v>
      </c>
      <c r="BH48" s="3">
        <f t="shared" si="60"/>
        <v>186.261</v>
      </c>
      <c r="BI48" s="3">
        <f t="shared" si="63"/>
        <v>186.261</v>
      </c>
      <c r="BJ48" s="3">
        <f t="shared" si="66"/>
        <v>186.261</v>
      </c>
      <c r="BK48" s="3">
        <f t="shared" si="70"/>
        <v>186.261</v>
      </c>
      <c r="BL48" s="3">
        <f t="shared" si="73"/>
        <v>186.261</v>
      </c>
      <c r="BM48" s="3">
        <f t="shared" si="76"/>
        <v>186.261</v>
      </c>
      <c r="BN48" s="3">
        <f t="shared" si="79"/>
        <v>186.261</v>
      </c>
      <c r="BO48" s="3">
        <f t="shared" si="82"/>
        <v>186.261</v>
      </c>
      <c r="BP48" s="3">
        <f t="shared" si="85"/>
        <v>186.261</v>
      </c>
      <c r="BQ48" s="3">
        <f t="shared" si="88"/>
        <v>186.261</v>
      </c>
      <c r="BR48" s="3">
        <f t="shared" ref="BR48:BR62" si="91">IF($D24&lt;=20,$H$4*($H$10*$H$11*$H$12-$H$13*$H$14*$H$15)*$AQ$46/20,0)</f>
        <v>186.261</v>
      </c>
      <c r="BS48" s="3">
        <f>IF($D23&lt;=20,$H$4*($H$10*$H$11*$H$12-$H$13*$H$14*$H$15)*$AQ$47/20,0)</f>
        <v>186.261</v>
      </c>
      <c r="BT48" s="3"/>
      <c r="BU48" s="3"/>
      <c r="BV48" s="3"/>
      <c r="BW48" s="3"/>
      <c r="BX48" s="8">
        <f t="shared" si="10"/>
        <v>3294.8018724999997</v>
      </c>
      <c r="BY48" s="65">
        <f t="shared" si="11"/>
        <v>0.27069215766825172</v>
      </c>
      <c r="BZ48" s="37">
        <f t="shared" si="12"/>
        <v>300</v>
      </c>
      <c r="CA48" s="8">
        <f t="shared" si="13"/>
        <v>28504.68039833333</v>
      </c>
      <c r="CB48" s="8">
        <f t="shared" si="14"/>
        <v>1184.3999999999996</v>
      </c>
      <c r="CC48" s="3">
        <f t="shared" si="15"/>
        <v>0</v>
      </c>
      <c r="CD48" s="3">
        <f t="shared" si="21"/>
        <v>0</v>
      </c>
      <c r="CE48" s="3">
        <f t="shared" si="24"/>
        <v>0</v>
      </c>
      <c r="CF48" s="3">
        <f t="shared" si="28"/>
        <v>0</v>
      </c>
      <c r="CG48" s="3">
        <f t="shared" si="31"/>
        <v>0</v>
      </c>
      <c r="CH48" s="3">
        <f t="shared" si="34"/>
        <v>0</v>
      </c>
      <c r="CI48" s="3">
        <f t="shared" si="37"/>
        <v>129.61282120000001</v>
      </c>
      <c r="CJ48" s="3">
        <f t="shared" si="40"/>
        <v>49.483339000000015</v>
      </c>
      <c r="CK48" s="3">
        <f t="shared" si="43"/>
        <v>77.633584799999994</v>
      </c>
      <c r="CL48" s="3">
        <f t="shared" si="46"/>
        <v>372.52199999999999</v>
      </c>
      <c r="CM48" s="3">
        <f t="shared" si="49"/>
        <v>372.52199999999999</v>
      </c>
      <c r="CN48" s="3">
        <f t="shared" si="52"/>
        <v>372.52199999999999</v>
      </c>
      <c r="CO48" s="3">
        <f t="shared" si="55"/>
        <v>372.52199999999999</v>
      </c>
      <c r="CP48" s="3">
        <f t="shared" si="58"/>
        <v>372.52199999999999</v>
      </c>
      <c r="CQ48" s="3">
        <f t="shared" si="61"/>
        <v>372.52199999999999</v>
      </c>
      <c r="CR48" s="3">
        <f t="shared" si="64"/>
        <v>372.52199999999999</v>
      </c>
      <c r="CS48" s="3">
        <f t="shared" si="67"/>
        <v>372.52199999999999</v>
      </c>
      <c r="CT48" s="3">
        <f t="shared" si="71"/>
        <v>372.52199999999999</v>
      </c>
      <c r="CU48" s="3">
        <f t="shared" si="74"/>
        <v>372.52199999999999</v>
      </c>
      <c r="CV48" s="3">
        <f t="shared" si="77"/>
        <v>372.52199999999999</v>
      </c>
      <c r="CW48" s="3">
        <f t="shared" si="80"/>
        <v>372.52199999999999</v>
      </c>
      <c r="CX48" s="3">
        <f t="shared" si="83"/>
        <v>372.52199999999999</v>
      </c>
      <c r="CY48" s="3">
        <f t="shared" si="86"/>
        <v>372.52199999999999</v>
      </c>
      <c r="CZ48" s="3">
        <f t="shared" si="89"/>
        <v>372.52199999999999</v>
      </c>
      <c r="DA48" s="3">
        <f t="shared" ref="DA48:DA62" si="92">IF($D24&lt;=20,$H$4*($H$10*$H$11*$H$12-$H$13*$H$14*$H$15)*$BZ$46/20,0)</f>
        <v>372.52199999999999</v>
      </c>
      <c r="DB48" s="3">
        <f>IF($D23&lt;=20,$H$4*($H$10*$H$11*$H$12-$H$13*$H$14*$H$15)*$BZ$47/20,0)</f>
        <v>372.52199999999999</v>
      </c>
      <c r="DC48" s="3"/>
      <c r="DD48" s="3"/>
      <c r="DE48" s="3"/>
      <c r="DF48" s="3"/>
      <c r="DG48" s="8">
        <f t="shared" si="16"/>
        <v>6589.6037449999994</v>
      </c>
      <c r="DH48" s="65">
        <f t="shared" si="17"/>
        <v>0.5372988980160488</v>
      </c>
    </row>
    <row r="49" spans="4:112" x14ac:dyDescent="0.4">
      <c r="D49" s="9">
        <f t="shared" si="68"/>
        <v>27</v>
      </c>
      <c r="E49" s="9">
        <f t="shared" si="68"/>
        <v>2043</v>
      </c>
      <c r="F49" s="8">
        <v>53225.289333333334</v>
      </c>
      <c r="G49" s="44">
        <v>300</v>
      </c>
      <c r="H49" s="37">
        <f t="shared" si="1"/>
        <v>48</v>
      </c>
      <c r="I49" s="8">
        <f t="shared" si="2"/>
        <v>4703.255581962665</v>
      </c>
      <c r="J49" s="8">
        <f t="shared" si="25"/>
        <v>189.50399999999996</v>
      </c>
      <c r="K49" s="3">
        <f t="shared" si="3"/>
        <v>0</v>
      </c>
      <c r="L49" s="3">
        <f t="shared" si="19"/>
        <v>0</v>
      </c>
      <c r="M49" s="3">
        <f t="shared" si="22"/>
        <v>0</v>
      </c>
      <c r="N49" s="3">
        <f t="shared" si="26"/>
        <v>0</v>
      </c>
      <c r="O49" s="3">
        <f t="shared" si="29"/>
        <v>0</v>
      </c>
      <c r="P49" s="3">
        <f t="shared" si="32"/>
        <v>0</v>
      </c>
      <c r="Q49" s="3">
        <f t="shared" si="35"/>
        <v>0</v>
      </c>
      <c r="R49" s="3">
        <f t="shared" si="38"/>
        <v>7.9173342400000024</v>
      </c>
      <c r="S49" s="3">
        <f t="shared" si="41"/>
        <v>12.421373568000002</v>
      </c>
      <c r="T49" s="3">
        <f t="shared" si="44"/>
        <v>59.603519999999989</v>
      </c>
      <c r="U49" s="3">
        <f t="shared" si="47"/>
        <v>59.603519999999989</v>
      </c>
      <c r="V49" s="3">
        <f t="shared" si="50"/>
        <v>59.603519999999989</v>
      </c>
      <c r="W49" s="3">
        <f t="shared" si="53"/>
        <v>59.603519999999989</v>
      </c>
      <c r="X49" s="3">
        <f t="shared" si="56"/>
        <v>59.603519999999989</v>
      </c>
      <c r="Y49" s="3">
        <f t="shared" si="59"/>
        <v>59.603519999999989</v>
      </c>
      <c r="Z49" s="3">
        <f t="shared" si="62"/>
        <v>59.603519999999989</v>
      </c>
      <c r="AA49" s="3">
        <f t="shared" si="65"/>
        <v>59.603519999999989</v>
      </c>
      <c r="AB49" s="3">
        <f t="shared" si="69"/>
        <v>59.603519999999989</v>
      </c>
      <c r="AC49" s="3">
        <f t="shared" si="72"/>
        <v>59.603519999999989</v>
      </c>
      <c r="AD49" s="3">
        <f t="shared" si="75"/>
        <v>59.603519999999989</v>
      </c>
      <c r="AE49" s="3">
        <f t="shared" si="78"/>
        <v>59.603519999999989</v>
      </c>
      <c r="AF49" s="3">
        <f t="shared" si="81"/>
        <v>59.603519999999989</v>
      </c>
      <c r="AG49" s="3">
        <f t="shared" si="84"/>
        <v>59.603519999999989</v>
      </c>
      <c r="AH49" s="3">
        <f t="shared" si="87"/>
        <v>59.603519999999989</v>
      </c>
      <c r="AI49" s="3">
        <f t="shared" si="90"/>
        <v>59.603519999999989</v>
      </c>
      <c r="AJ49" s="3">
        <f t="shared" ref="AJ49:AJ62" si="93">IF($D24&lt;=20,$H$4*($H$10*$H$11*$H$12-$H$13*$H$14*$H$15)*$H$47/20,0)</f>
        <v>59.603519999999989</v>
      </c>
      <c r="AK49" s="3">
        <f>IF($D23&lt;=20,$H$4*($H$10*$H$11*$H$12-$H$13*$H$14*$H$15)*$H$48/20,0)</f>
        <v>59.603519999999989</v>
      </c>
      <c r="AL49" s="3"/>
      <c r="AM49" s="3"/>
      <c r="AN49" s="3"/>
      <c r="AO49" s="8">
        <f t="shared" si="4"/>
        <v>1093.2020678079998</v>
      </c>
      <c r="AP49" s="53">
        <f t="shared" si="5"/>
        <v>8.836505429792306E-2</v>
      </c>
      <c r="AQ49" s="37">
        <f t="shared" si="6"/>
        <v>150</v>
      </c>
      <c r="AR49" s="8">
        <f t="shared" si="7"/>
        <v>14697.673693633331</v>
      </c>
      <c r="AS49" s="8">
        <f t="shared" si="8"/>
        <v>592.19999999999982</v>
      </c>
      <c r="AT49" s="3">
        <f t="shared" si="9"/>
        <v>0</v>
      </c>
      <c r="AU49" s="3">
        <f t="shared" si="20"/>
        <v>0</v>
      </c>
      <c r="AV49" s="3">
        <f t="shared" si="23"/>
        <v>0</v>
      </c>
      <c r="AW49" s="3">
        <f t="shared" si="27"/>
        <v>0</v>
      </c>
      <c r="AX49" s="3">
        <f t="shared" si="30"/>
        <v>0</v>
      </c>
      <c r="AY49" s="3">
        <f t="shared" si="33"/>
        <v>0</v>
      </c>
      <c r="AZ49" s="3">
        <f t="shared" si="36"/>
        <v>0</v>
      </c>
      <c r="BA49" s="3">
        <f t="shared" si="39"/>
        <v>24.741669500000008</v>
      </c>
      <c r="BB49" s="3">
        <f t="shared" si="42"/>
        <v>38.816792399999997</v>
      </c>
      <c r="BC49" s="3">
        <f t="shared" si="45"/>
        <v>186.261</v>
      </c>
      <c r="BD49" s="3">
        <f t="shared" si="48"/>
        <v>186.261</v>
      </c>
      <c r="BE49" s="3">
        <f t="shared" si="51"/>
        <v>186.261</v>
      </c>
      <c r="BF49" s="3">
        <f t="shared" si="54"/>
        <v>186.261</v>
      </c>
      <c r="BG49" s="3">
        <f t="shared" si="57"/>
        <v>186.261</v>
      </c>
      <c r="BH49" s="3">
        <f t="shared" si="60"/>
        <v>186.261</v>
      </c>
      <c r="BI49" s="3">
        <f t="shared" si="63"/>
        <v>186.261</v>
      </c>
      <c r="BJ49" s="3">
        <f t="shared" si="66"/>
        <v>186.261</v>
      </c>
      <c r="BK49" s="3">
        <f t="shared" si="70"/>
        <v>186.261</v>
      </c>
      <c r="BL49" s="3">
        <f t="shared" si="73"/>
        <v>186.261</v>
      </c>
      <c r="BM49" s="3">
        <f t="shared" si="76"/>
        <v>186.261</v>
      </c>
      <c r="BN49" s="3">
        <f t="shared" si="79"/>
        <v>186.261</v>
      </c>
      <c r="BO49" s="3">
        <f t="shared" si="82"/>
        <v>186.261</v>
      </c>
      <c r="BP49" s="3">
        <f t="shared" si="85"/>
        <v>186.261</v>
      </c>
      <c r="BQ49" s="3">
        <f t="shared" si="88"/>
        <v>186.261</v>
      </c>
      <c r="BR49" s="3">
        <f t="shared" si="91"/>
        <v>186.261</v>
      </c>
      <c r="BS49" s="3">
        <f t="shared" ref="BS49:BS62" si="94">IF($D24&lt;=20,$H$4*($H$10*$H$11*$H$12-$H$13*$H$14*$H$15)*$AQ$47/20,0)</f>
        <v>186.261</v>
      </c>
      <c r="BT49" s="3">
        <f>IF($D23&lt;=20,$H$4*($H$10*$H$11*$H$12-$H$13*$H$14*$H$15)*$AQ$48/20,0)</f>
        <v>186.261</v>
      </c>
      <c r="BU49" s="3"/>
      <c r="BV49" s="3"/>
      <c r="BW49" s="3"/>
      <c r="BX49" s="8">
        <f t="shared" si="10"/>
        <v>3416.2564618999995</v>
      </c>
      <c r="BY49" s="65">
        <f t="shared" si="11"/>
        <v>0.2761407946810096</v>
      </c>
      <c r="BZ49" s="37">
        <f t="shared" si="12"/>
        <v>300</v>
      </c>
      <c r="CA49" s="8">
        <f t="shared" si="13"/>
        <v>29395.347387266662</v>
      </c>
      <c r="CB49" s="8">
        <f t="shared" si="14"/>
        <v>1184.3999999999996</v>
      </c>
      <c r="CC49" s="3">
        <f t="shared" si="15"/>
        <v>0</v>
      </c>
      <c r="CD49" s="3">
        <f t="shared" si="21"/>
        <v>0</v>
      </c>
      <c r="CE49" s="3">
        <f t="shared" si="24"/>
        <v>0</v>
      </c>
      <c r="CF49" s="3">
        <f t="shared" si="28"/>
        <v>0</v>
      </c>
      <c r="CG49" s="3">
        <f t="shared" si="31"/>
        <v>0</v>
      </c>
      <c r="CH49" s="3">
        <f t="shared" si="34"/>
        <v>0</v>
      </c>
      <c r="CI49" s="3">
        <f t="shared" si="37"/>
        <v>0</v>
      </c>
      <c r="CJ49" s="3">
        <f t="shared" si="40"/>
        <v>49.483339000000015</v>
      </c>
      <c r="CK49" s="3">
        <f t="shared" si="43"/>
        <v>77.633584799999994</v>
      </c>
      <c r="CL49" s="3">
        <f t="shared" si="46"/>
        <v>372.52199999999999</v>
      </c>
      <c r="CM49" s="3">
        <f t="shared" si="49"/>
        <v>372.52199999999999</v>
      </c>
      <c r="CN49" s="3">
        <f t="shared" si="52"/>
        <v>372.52199999999999</v>
      </c>
      <c r="CO49" s="3">
        <f t="shared" si="55"/>
        <v>372.52199999999999</v>
      </c>
      <c r="CP49" s="3">
        <f t="shared" si="58"/>
        <v>372.52199999999999</v>
      </c>
      <c r="CQ49" s="3">
        <f t="shared" si="61"/>
        <v>372.52199999999999</v>
      </c>
      <c r="CR49" s="3">
        <f t="shared" si="64"/>
        <v>372.52199999999999</v>
      </c>
      <c r="CS49" s="3">
        <f t="shared" si="67"/>
        <v>372.52199999999999</v>
      </c>
      <c r="CT49" s="3">
        <f t="shared" si="71"/>
        <v>372.52199999999999</v>
      </c>
      <c r="CU49" s="3">
        <f t="shared" si="74"/>
        <v>372.52199999999999</v>
      </c>
      <c r="CV49" s="3">
        <f t="shared" si="77"/>
        <v>372.52199999999999</v>
      </c>
      <c r="CW49" s="3">
        <f t="shared" si="80"/>
        <v>372.52199999999999</v>
      </c>
      <c r="CX49" s="3">
        <f t="shared" si="83"/>
        <v>372.52199999999999</v>
      </c>
      <c r="CY49" s="3">
        <f t="shared" si="86"/>
        <v>372.52199999999999</v>
      </c>
      <c r="CZ49" s="3">
        <f t="shared" si="89"/>
        <v>372.52199999999999</v>
      </c>
      <c r="DA49" s="3">
        <f t="shared" si="92"/>
        <v>372.52199999999999</v>
      </c>
      <c r="DB49" s="3">
        <f t="shared" ref="DB49:DB62" si="95">IF($D24&lt;=20,$H$4*($H$10*$H$11*$H$12-$H$13*$H$14*$H$15)*$BZ$47/20,0)</f>
        <v>372.52199999999999</v>
      </c>
      <c r="DC49" s="3">
        <f>IF($D23&lt;=20,$H$4*($H$10*$H$11*$H$12-$H$13*$H$14*$H$15)*$BZ$48/20,0)</f>
        <v>372.52199999999999</v>
      </c>
      <c r="DD49" s="3"/>
      <c r="DE49" s="3"/>
      <c r="DF49" s="3"/>
      <c r="DG49" s="8">
        <f t="shared" si="16"/>
        <v>6832.512923799999</v>
      </c>
      <c r="DH49" s="65">
        <f t="shared" si="17"/>
        <v>0.55408752307571207</v>
      </c>
    </row>
    <row r="50" spans="4:112" x14ac:dyDescent="0.4">
      <c r="D50" s="9">
        <f t="shared" si="68"/>
        <v>28</v>
      </c>
      <c r="E50" s="9">
        <f t="shared" si="68"/>
        <v>2044</v>
      </c>
      <c r="F50" s="8">
        <v>53988.396000000001</v>
      </c>
      <c r="G50" s="44">
        <v>300</v>
      </c>
      <c r="H50" s="37">
        <f t="shared" si="1"/>
        <v>48</v>
      </c>
      <c r="I50" s="8">
        <f t="shared" si="2"/>
        <v>4892.7715964159988</v>
      </c>
      <c r="J50" s="8">
        <f t="shared" si="25"/>
        <v>189.50399999999996</v>
      </c>
      <c r="K50" s="3">
        <f t="shared" si="3"/>
        <v>0</v>
      </c>
      <c r="L50" s="3">
        <f t="shared" si="19"/>
        <v>0</v>
      </c>
      <c r="M50" s="3">
        <f t="shared" si="22"/>
        <v>0</v>
      </c>
      <c r="N50" s="3">
        <f t="shared" si="26"/>
        <v>0</v>
      </c>
      <c r="O50" s="3">
        <f t="shared" si="29"/>
        <v>0</v>
      </c>
      <c r="P50" s="3">
        <f t="shared" si="32"/>
        <v>0</v>
      </c>
      <c r="Q50" s="3">
        <f t="shared" si="35"/>
        <v>0</v>
      </c>
      <c r="R50" s="3">
        <f t="shared" si="38"/>
        <v>0</v>
      </c>
      <c r="S50" s="3">
        <f t="shared" si="41"/>
        <v>12.421373568000002</v>
      </c>
      <c r="T50" s="3">
        <f t="shared" si="44"/>
        <v>59.603519999999989</v>
      </c>
      <c r="U50" s="3">
        <f t="shared" si="47"/>
        <v>59.603519999999989</v>
      </c>
      <c r="V50" s="3">
        <f t="shared" si="50"/>
        <v>59.603519999999989</v>
      </c>
      <c r="W50" s="3">
        <f t="shared" si="53"/>
        <v>59.603519999999989</v>
      </c>
      <c r="X50" s="3">
        <f t="shared" si="56"/>
        <v>59.603519999999989</v>
      </c>
      <c r="Y50" s="3">
        <f t="shared" si="59"/>
        <v>59.603519999999989</v>
      </c>
      <c r="Z50" s="3">
        <f t="shared" si="62"/>
        <v>59.603519999999989</v>
      </c>
      <c r="AA50" s="3">
        <f t="shared" si="65"/>
        <v>59.603519999999989</v>
      </c>
      <c r="AB50" s="3">
        <f t="shared" si="69"/>
        <v>59.603519999999989</v>
      </c>
      <c r="AC50" s="3">
        <f t="shared" si="72"/>
        <v>59.603519999999989</v>
      </c>
      <c r="AD50" s="3">
        <f t="shared" si="75"/>
        <v>59.603519999999989</v>
      </c>
      <c r="AE50" s="3">
        <f t="shared" si="78"/>
        <v>59.603519999999989</v>
      </c>
      <c r="AF50" s="3">
        <f t="shared" si="81"/>
        <v>59.603519999999989</v>
      </c>
      <c r="AG50" s="3">
        <f t="shared" si="84"/>
        <v>59.603519999999989</v>
      </c>
      <c r="AH50" s="3">
        <f t="shared" si="87"/>
        <v>59.603519999999989</v>
      </c>
      <c r="AI50" s="3">
        <f t="shared" si="90"/>
        <v>59.603519999999989</v>
      </c>
      <c r="AJ50" s="3">
        <f t="shared" si="93"/>
        <v>59.603519999999989</v>
      </c>
      <c r="AK50" s="3">
        <f t="shared" ref="AK50:AK62" si="96">IF($D24&lt;=20,$H$4*($H$10*$H$11*$H$12-$H$13*$H$14*$H$15)*$H$48/20,0)</f>
        <v>59.603519999999989</v>
      </c>
      <c r="AL50" s="3">
        <f>IF($D23&lt;=20,$H$4*($H$10*$H$11*$H$12-$H$13*$H$14*$H$15)*$H$49/20,0)</f>
        <v>59.603519999999989</v>
      </c>
      <c r="AM50" s="3"/>
      <c r="AN50" s="3"/>
      <c r="AO50" s="8">
        <f t="shared" si="4"/>
        <v>1144.8882535679998</v>
      </c>
      <c r="AP50" s="53">
        <f t="shared" si="5"/>
        <v>9.0626356012058568E-2</v>
      </c>
      <c r="AQ50" s="37">
        <f t="shared" si="6"/>
        <v>150</v>
      </c>
      <c r="AR50" s="8">
        <f t="shared" si="7"/>
        <v>15289.911238799998</v>
      </c>
      <c r="AS50" s="8">
        <f t="shared" si="8"/>
        <v>592.19999999999982</v>
      </c>
      <c r="AT50" s="3">
        <f t="shared" si="9"/>
        <v>0</v>
      </c>
      <c r="AU50" s="3">
        <f t="shared" si="20"/>
        <v>0</v>
      </c>
      <c r="AV50" s="3">
        <f t="shared" si="23"/>
        <v>0</v>
      </c>
      <c r="AW50" s="3">
        <f t="shared" si="27"/>
        <v>0</v>
      </c>
      <c r="AX50" s="3">
        <f t="shared" si="30"/>
        <v>0</v>
      </c>
      <c r="AY50" s="3">
        <f t="shared" si="33"/>
        <v>0</v>
      </c>
      <c r="AZ50" s="3">
        <f t="shared" si="36"/>
        <v>0</v>
      </c>
      <c r="BA50" s="3">
        <f t="shared" si="39"/>
        <v>0</v>
      </c>
      <c r="BB50" s="3">
        <f t="shared" si="42"/>
        <v>38.816792399999997</v>
      </c>
      <c r="BC50" s="3">
        <f t="shared" si="45"/>
        <v>186.261</v>
      </c>
      <c r="BD50" s="3">
        <f t="shared" si="48"/>
        <v>186.261</v>
      </c>
      <c r="BE50" s="3">
        <f t="shared" si="51"/>
        <v>186.261</v>
      </c>
      <c r="BF50" s="3">
        <f t="shared" si="54"/>
        <v>186.261</v>
      </c>
      <c r="BG50" s="3">
        <f t="shared" si="57"/>
        <v>186.261</v>
      </c>
      <c r="BH50" s="3">
        <f t="shared" si="60"/>
        <v>186.261</v>
      </c>
      <c r="BI50" s="3">
        <f t="shared" si="63"/>
        <v>186.261</v>
      </c>
      <c r="BJ50" s="3">
        <f t="shared" si="66"/>
        <v>186.261</v>
      </c>
      <c r="BK50" s="3">
        <f t="shared" si="70"/>
        <v>186.261</v>
      </c>
      <c r="BL50" s="3">
        <f t="shared" si="73"/>
        <v>186.261</v>
      </c>
      <c r="BM50" s="3">
        <f t="shared" si="76"/>
        <v>186.261</v>
      </c>
      <c r="BN50" s="3">
        <f t="shared" si="79"/>
        <v>186.261</v>
      </c>
      <c r="BO50" s="3">
        <f t="shared" si="82"/>
        <v>186.261</v>
      </c>
      <c r="BP50" s="3">
        <f t="shared" si="85"/>
        <v>186.261</v>
      </c>
      <c r="BQ50" s="3">
        <f t="shared" si="88"/>
        <v>186.261</v>
      </c>
      <c r="BR50" s="3">
        <f t="shared" si="91"/>
        <v>186.261</v>
      </c>
      <c r="BS50" s="3">
        <f t="shared" si="94"/>
        <v>186.261</v>
      </c>
      <c r="BT50" s="3">
        <f t="shared" ref="BT50:BT62" si="97">IF($D24&lt;=20,$H$4*($H$10*$H$11*$H$12-$H$13*$H$14*$H$15)*$AQ$48/20,0)</f>
        <v>186.261</v>
      </c>
      <c r="BU50" s="3">
        <f>IF($D23&lt;=20,$H$4*($H$10*$H$11*$H$12-$H$13*$H$14*$H$15)*$AQ$49/20,0)</f>
        <v>186.261</v>
      </c>
      <c r="BV50" s="3"/>
      <c r="BW50" s="3"/>
      <c r="BX50" s="8">
        <f t="shared" si="10"/>
        <v>3577.7757923999998</v>
      </c>
      <c r="BY50" s="65">
        <f t="shared" si="11"/>
        <v>0.28320736253768303</v>
      </c>
      <c r="BZ50" s="37">
        <f t="shared" si="12"/>
        <v>300</v>
      </c>
      <c r="CA50" s="8">
        <f t="shared" si="13"/>
        <v>30579.822477599995</v>
      </c>
      <c r="CB50" s="8">
        <f t="shared" si="14"/>
        <v>1184.3999999999996</v>
      </c>
      <c r="CC50" s="3">
        <f t="shared" si="15"/>
        <v>0</v>
      </c>
      <c r="CD50" s="3">
        <f t="shared" si="21"/>
        <v>0</v>
      </c>
      <c r="CE50" s="3">
        <f t="shared" si="24"/>
        <v>0</v>
      </c>
      <c r="CF50" s="3">
        <f t="shared" si="28"/>
        <v>0</v>
      </c>
      <c r="CG50" s="3">
        <f t="shared" si="31"/>
        <v>0</v>
      </c>
      <c r="CH50" s="3">
        <f t="shared" si="34"/>
        <v>0</v>
      </c>
      <c r="CI50" s="3">
        <f t="shared" si="37"/>
        <v>0</v>
      </c>
      <c r="CJ50" s="3">
        <f t="shared" si="40"/>
        <v>0</v>
      </c>
      <c r="CK50" s="3">
        <f t="shared" si="43"/>
        <v>77.633584799999994</v>
      </c>
      <c r="CL50" s="3">
        <f t="shared" si="46"/>
        <v>372.52199999999999</v>
      </c>
      <c r="CM50" s="3">
        <f t="shared" si="49"/>
        <v>372.52199999999999</v>
      </c>
      <c r="CN50" s="3">
        <f t="shared" si="52"/>
        <v>372.52199999999999</v>
      </c>
      <c r="CO50" s="3">
        <f t="shared" si="55"/>
        <v>372.52199999999999</v>
      </c>
      <c r="CP50" s="3">
        <f t="shared" si="58"/>
        <v>372.52199999999999</v>
      </c>
      <c r="CQ50" s="3">
        <f t="shared" si="61"/>
        <v>372.52199999999999</v>
      </c>
      <c r="CR50" s="3">
        <f t="shared" si="64"/>
        <v>372.52199999999999</v>
      </c>
      <c r="CS50" s="3">
        <f t="shared" si="67"/>
        <v>372.52199999999999</v>
      </c>
      <c r="CT50" s="3">
        <f t="shared" si="71"/>
        <v>372.52199999999999</v>
      </c>
      <c r="CU50" s="3">
        <f t="shared" si="74"/>
        <v>372.52199999999999</v>
      </c>
      <c r="CV50" s="3">
        <f t="shared" si="77"/>
        <v>372.52199999999999</v>
      </c>
      <c r="CW50" s="3">
        <f t="shared" si="80"/>
        <v>372.52199999999999</v>
      </c>
      <c r="CX50" s="3">
        <f t="shared" si="83"/>
        <v>372.52199999999999</v>
      </c>
      <c r="CY50" s="3">
        <f t="shared" si="86"/>
        <v>372.52199999999999</v>
      </c>
      <c r="CZ50" s="3">
        <f t="shared" si="89"/>
        <v>372.52199999999999</v>
      </c>
      <c r="DA50" s="3">
        <f t="shared" si="92"/>
        <v>372.52199999999999</v>
      </c>
      <c r="DB50" s="3">
        <f t="shared" si="95"/>
        <v>372.52199999999999</v>
      </c>
      <c r="DC50" s="3">
        <f t="shared" ref="DC50:DC62" si="98">IF($D24&lt;=20,$H$4*($H$10*$H$11*$H$12-$H$13*$H$14*$H$15)*$BZ$48/20,0)</f>
        <v>372.52199999999999</v>
      </c>
      <c r="DD50" s="3">
        <f>IF($D23&lt;=20,$H$4*($H$10*$H$11*$H$12-$H$13*$H$14*$H$15)*$BZ$49/20,0)</f>
        <v>372.52199999999999</v>
      </c>
      <c r="DE50" s="3"/>
      <c r="DF50" s="3"/>
      <c r="DG50" s="8">
        <f t="shared" si="16"/>
        <v>7155.5515847999995</v>
      </c>
      <c r="DH50" s="65">
        <f t="shared" si="17"/>
        <v>0.57641428316809218</v>
      </c>
    </row>
    <row r="51" spans="4:112" x14ac:dyDescent="0.4">
      <c r="D51" s="9">
        <f t="shared" si="68"/>
        <v>29</v>
      </c>
      <c r="E51" s="9">
        <f t="shared" si="68"/>
        <v>2045</v>
      </c>
      <c r="F51" s="8">
        <v>54685.004000000001</v>
      </c>
      <c r="G51" s="44">
        <v>300</v>
      </c>
      <c r="H51" s="37">
        <f t="shared" si="1"/>
        <v>48</v>
      </c>
      <c r="I51" s="8">
        <f t="shared" si="2"/>
        <v>5065.7727999999979</v>
      </c>
      <c r="J51" s="8">
        <f t="shared" si="25"/>
        <v>189.50399999999996</v>
      </c>
      <c r="K51" s="3">
        <f t="shared" si="3"/>
        <v>0</v>
      </c>
      <c r="L51" s="3">
        <f t="shared" si="19"/>
        <v>0</v>
      </c>
      <c r="M51" s="3">
        <f t="shared" si="22"/>
        <v>0</v>
      </c>
      <c r="N51" s="3">
        <f t="shared" si="26"/>
        <v>0</v>
      </c>
      <c r="O51" s="3">
        <f t="shared" si="29"/>
        <v>0</v>
      </c>
      <c r="P51" s="3">
        <f t="shared" si="32"/>
        <v>0</v>
      </c>
      <c r="Q51" s="3">
        <f t="shared" si="35"/>
        <v>0</v>
      </c>
      <c r="R51" s="3">
        <f t="shared" si="38"/>
        <v>0</v>
      </c>
      <c r="S51" s="3">
        <f t="shared" si="41"/>
        <v>0</v>
      </c>
      <c r="T51" s="3">
        <f t="shared" si="44"/>
        <v>59.603519999999989</v>
      </c>
      <c r="U51" s="3">
        <f t="shared" si="47"/>
        <v>59.603519999999989</v>
      </c>
      <c r="V51" s="3">
        <f t="shared" si="50"/>
        <v>59.603519999999989</v>
      </c>
      <c r="W51" s="3">
        <f t="shared" si="53"/>
        <v>59.603519999999989</v>
      </c>
      <c r="X51" s="3">
        <f t="shared" si="56"/>
        <v>59.603519999999989</v>
      </c>
      <c r="Y51" s="3">
        <f t="shared" si="59"/>
        <v>59.603519999999989</v>
      </c>
      <c r="Z51" s="3">
        <f t="shared" si="62"/>
        <v>59.603519999999989</v>
      </c>
      <c r="AA51" s="3">
        <f t="shared" si="65"/>
        <v>59.603519999999989</v>
      </c>
      <c r="AB51" s="3">
        <f t="shared" si="69"/>
        <v>59.603519999999989</v>
      </c>
      <c r="AC51" s="3">
        <f t="shared" si="72"/>
        <v>59.603519999999989</v>
      </c>
      <c r="AD51" s="3">
        <f t="shared" si="75"/>
        <v>59.603519999999989</v>
      </c>
      <c r="AE51" s="3">
        <f t="shared" si="78"/>
        <v>59.603519999999989</v>
      </c>
      <c r="AF51" s="3">
        <f t="shared" si="81"/>
        <v>59.603519999999989</v>
      </c>
      <c r="AG51" s="3">
        <f t="shared" si="84"/>
        <v>59.603519999999989</v>
      </c>
      <c r="AH51" s="3">
        <f t="shared" si="87"/>
        <v>59.603519999999989</v>
      </c>
      <c r="AI51" s="3">
        <f t="shared" si="90"/>
        <v>59.603519999999989</v>
      </c>
      <c r="AJ51" s="3">
        <f t="shared" si="93"/>
        <v>59.603519999999989</v>
      </c>
      <c r="AK51" s="3">
        <f t="shared" si="96"/>
        <v>59.603519999999989</v>
      </c>
      <c r="AL51" s="3">
        <f t="shared" ref="AL51:AL62" si="99">IF($D24&lt;=20,$H$4*($H$10*$H$11*$H$12-$H$13*$H$14*$H$15)*$H$49/20,0)</f>
        <v>59.603519999999989</v>
      </c>
      <c r="AM51" s="3">
        <f>IF($D23&lt;=20,$H$4*($H$10*$H$11*$H$12-$H$13*$H$14*$H$15)*$H$50/20,0)</f>
        <v>59.603519999999989</v>
      </c>
      <c r="AN51" s="3"/>
      <c r="AO51" s="8">
        <f t="shared" si="4"/>
        <v>1192.0703999999996</v>
      </c>
      <c r="AP51" s="53">
        <f t="shared" si="5"/>
        <v>9.2635502047325402E-2</v>
      </c>
      <c r="AQ51" s="37">
        <f t="shared" si="6"/>
        <v>150</v>
      </c>
      <c r="AR51" s="8">
        <f t="shared" si="7"/>
        <v>15830.539999999999</v>
      </c>
      <c r="AS51" s="8">
        <f t="shared" si="8"/>
        <v>592.19999999999982</v>
      </c>
      <c r="AT51" s="3">
        <f t="shared" si="9"/>
        <v>0</v>
      </c>
      <c r="AU51" s="3">
        <f t="shared" si="20"/>
        <v>0</v>
      </c>
      <c r="AV51" s="3">
        <f t="shared" si="23"/>
        <v>0</v>
      </c>
      <c r="AW51" s="3">
        <f t="shared" si="27"/>
        <v>0</v>
      </c>
      <c r="AX51" s="3">
        <f t="shared" si="30"/>
        <v>0</v>
      </c>
      <c r="AY51" s="3">
        <f t="shared" si="33"/>
        <v>0</v>
      </c>
      <c r="AZ51" s="3">
        <f t="shared" si="36"/>
        <v>0</v>
      </c>
      <c r="BA51" s="3">
        <f t="shared" si="39"/>
        <v>0</v>
      </c>
      <c r="BB51" s="3">
        <f t="shared" si="42"/>
        <v>0</v>
      </c>
      <c r="BC51" s="3">
        <f t="shared" si="45"/>
        <v>186.261</v>
      </c>
      <c r="BD51" s="3">
        <f t="shared" si="48"/>
        <v>186.261</v>
      </c>
      <c r="BE51" s="3">
        <f t="shared" si="51"/>
        <v>186.261</v>
      </c>
      <c r="BF51" s="3">
        <f t="shared" si="54"/>
        <v>186.261</v>
      </c>
      <c r="BG51" s="3">
        <f t="shared" si="57"/>
        <v>186.261</v>
      </c>
      <c r="BH51" s="3">
        <f t="shared" si="60"/>
        <v>186.261</v>
      </c>
      <c r="BI51" s="3">
        <f t="shared" si="63"/>
        <v>186.261</v>
      </c>
      <c r="BJ51" s="3">
        <f t="shared" si="66"/>
        <v>186.261</v>
      </c>
      <c r="BK51" s="3">
        <f t="shared" si="70"/>
        <v>186.261</v>
      </c>
      <c r="BL51" s="3">
        <f t="shared" si="73"/>
        <v>186.261</v>
      </c>
      <c r="BM51" s="3">
        <f t="shared" si="76"/>
        <v>186.261</v>
      </c>
      <c r="BN51" s="3">
        <f t="shared" si="79"/>
        <v>186.261</v>
      </c>
      <c r="BO51" s="3">
        <f t="shared" si="82"/>
        <v>186.261</v>
      </c>
      <c r="BP51" s="3">
        <f t="shared" si="85"/>
        <v>186.261</v>
      </c>
      <c r="BQ51" s="3">
        <f t="shared" si="88"/>
        <v>186.261</v>
      </c>
      <c r="BR51" s="3">
        <f t="shared" si="91"/>
        <v>186.261</v>
      </c>
      <c r="BS51" s="3">
        <f t="shared" si="94"/>
        <v>186.261</v>
      </c>
      <c r="BT51" s="3">
        <f t="shared" si="97"/>
        <v>186.261</v>
      </c>
      <c r="BU51" s="3">
        <f t="shared" ref="BU51:BU62" si="100">IF($D24&lt;=20,$H$4*($H$10*$H$11*$H$12-$H$13*$H$14*$H$15)*$AQ$49/20,0)</f>
        <v>186.261</v>
      </c>
      <c r="BV51" s="3">
        <f>IF($D23&lt;=20,$H$4*($H$10*$H$11*$H$12-$H$13*$H$14*$H$15)*$AQ$50/20,0)</f>
        <v>186.261</v>
      </c>
      <c r="BW51" s="3"/>
      <c r="BX51" s="8">
        <f t="shared" si="10"/>
        <v>3725.22</v>
      </c>
      <c r="BY51" s="65">
        <f t="shared" si="11"/>
        <v>0.28948594389789201</v>
      </c>
      <c r="BZ51" s="37">
        <f t="shared" si="12"/>
        <v>300</v>
      </c>
      <c r="CA51" s="8">
        <f t="shared" si="13"/>
        <v>31661.079999999998</v>
      </c>
      <c r="CB51" s="8">
        <f t="shared" si="14"/>
        <v>1184.3999999999996</v>
      </c>
      <c r="CC51" s="3">
        <f t="shared" si="15"/>
        <v>0</v>
      </c>
      <c r="CD51" s="3">
        <f t="shared" si="21"/>
        <v>0</v>
      </c>
      <c r="CE51" s="3">
        <f t="shared" si="24"/>
        <v>0</v>
      </c>
      <c r="CF51" s="3">
        <f t="shared" si="28"/>
        <v>0</v>
      </c>
      <c r="CG51" s="3">
        <f t="shared" si="31"/>
        <v>0</v>
      </c>
      <c r="CH51" s="3">
        <f t="shared" si="34"/>
        <v>0</v>
      </c>
      <c r="CI51" s="3">
        <f t="shared" si="37"/>
        <v>0</v>
      </c>
      <c r="CJ51" s="3">
        <f t="shared" si="40"/>
        <v>0</v>
      </c>
      <c r="CK51" s="3">
        <f t="shared" si="43"/>
        <v>0</v>
      </c>
      <c r="CL51" s="3">
        <f t="shared" si="46"/>
        <v>372.52199999999999</v>
      </c>
      <c r="CM51" s="3">
        <f t="shared" si="49"/>
        <v>372.52199999999999</v>
      </c>
      <c r="CN51" s="3">
        <f t="shared" si="52"/>
        <v>372.52199999999999</v>
      </c>
      <c r="CO51" s="3">
        <f t="shared" si="55"/>
        <v>372.52199999999999</v>
      </c>
      <c r="CP51" s="3">
        <f t="shared" si="58"/>
        <v>372.52199999999999</v>
      </c>
      <c r="CQ51" s="3">
        <f t="shared" si="61"/>
        <v>372.52199999999999</v>
      </c>
      <c r="CR51" s="3">
        <f t="shared" si="64"/>
        <v>372.52199999999999</v>
      </c>
      <c r="CS51" s="3">
        <f t="shared" si="67"/>
        <v>372.52199999999999</v>
      </c>
      <c r="CT51" s="3">
        <f t="shared" si="71"/>
        <v>372.52199999999999</v>
      </c>
      <c r="CU51" s="3">
        <f t="shared" si="74"/>
        <v>372.52199999999999</v>
      </c>
      <c r="CV51" s="3">
        <f t="shared" si="77"/>
        <v>372.52199999999999</v>
      </c>
      <c r="CW51" s="3">
        <f t="shared" si="80"/>
        <v>372.52199999999999</v>
      </c>
      <c r="CX51" s="3">
        <f t="shared" si="83"/>
        <v>372.52199999999999</v>
      </c>
      <c r="CY51" s="3">
        <f t="shared" si="86"/>
        <v>372.52199999999999</v>
      </c>
      <c r="CZ51" s="3">
        <f t="shared" si="89"/>
        <v>372.52199999999999</v>
      </c>
      <c r="DA51" s="3">
        <f t="shared" si="92"/>
        <v>372.52199999999999</v>
      </c>
      <c r="DB51" s="3">
        <f t="shared" si="95"/>
        <v>372.52199999999999</v>
      </c>
      <c r="DC51" s="3">
        <f t="shared" si="98"/>
        <v>372.52199999999999</v>
      </c>
      <c r="DD51" s="3">
        <f t="shared" ref="DD51:DD62" si="101">IF($D24&lt;=20,$H$4*($H$10*$H$11*$H$12-$H$13*$H$14*$H$15)*$BZ$49/20,0)</f>
        <v>372.52199999999999</v>
      </c>
      <c r="DE51" s="3">
        <f>IF($D23&lt;=20,$H$4*($H$10*$H$11*$H$12-$H$13*$H$14*$H$15)*$BZ$50/20,0)</f>
        <v>372.52199999999999</v>
      </c>
      <c r="DF51" s="3"/>
      <c r="DG51" s="8">
        <f t="shared" si="16"/>
        <v>7450.44</v>
      </c>
      <c r="DH51" s="65">
        <f t="shared" si="17"/>
        <v>0.59679544398584528</v>
      </c>
    </row>
    <row r="52" spans="4:112" s="18" customFormat="1" x14ac:dyDescent="0.4">
      <c r="D52" s="16">
        <f t="shared" si="68"/>
        <v>30</v>
      </c>
      <c r="E52" s="16">
        <f t="shared" si="68"/>
        <v>2046</v>
      </c>
      <c r="F52" s="13">
        <v>54685.004000000001</v>
      </c>
      <c r="G52" s="45">
        <v>300</v>
      </c>
      <c r="H52" s="54">
        <f t="shared" si="1"/>
        <v>48</v>
      </c>
      <c r="I52" s="13">
        <f t="shared" si="2"/>
        <v>5065.7727999999979</v>
      </c>
      <c r="J52" s="13">
        <f t="shared" si="25"/>
        <v>189.50399999999996</v>
      </c>
      <c r="K52" s="17">
        <f t="shared" si="3"/>
        <v>0</v>
      </c>
      <c r="L52" s="17">
        <f t="shared" si="19"/>
        <v>0</v>
      </c>
      <c r="M52" s="17">
        <f t="shared" si="22"/>
        <v>0</v>
      </c>
      <c r="N52" s="17">
        <f t="shared" si="26"/>
        <v>0</v>
      </c>
      <c r="O52" s="17">
        <f t="shared" si="29"/>
        <v>0</v>
      </c>
      <c r="P52" s="17">
        <f t="shared" si="32"/>
        <v>0</v>
      </c>
      <c r="Q52" s="17">
        <f t="shared" si="35"/>
        <v>0</v>
      </c>
      <c r="R52" s="17">
        <f t="shared" si="38"/>
        <v>0</v>
      </c>
      <c r="S52" s="17">
        <f t="shared" si="41"/>
        <v>0</v>
      </c>
      <c r="T52" s="17">
        <f t="shared" si="44"/>
        <v>0</v>
      </c>
      <c r="U52" s="17">
        <f t="shared" si="47"/>
        <v>59.603519999999989</v>
      </c>
      <c r="V52" s="17">
        <f t="shared" si="50"/>
        <v>59.603519999999989</v>
      </c>
      <c r="W52" s="17">
        <f t="shared" si="53"/>
        <v>59.603519999999989</v>
      </c>
      <c r="X52" s="17">
        <f t="shared" si="56"/>
        <v>59.603519999999989</v>
      </c>
      <c r="Y52" s="17">
        <f t="shared" si="59"/>
        <v>59.603519999999989</v>
      </c>
      <c r="Z52" s="17">
        <f t="shared" si="62"/>
        <v>59.603519999999989</v>
      </c>
      <c r="AA52" s="17">
        <f t="shared" si="65"/>
        <v>59.603519999999989</v>
      </c>
      <c r="AB52" s="17">
        <f t="shared" si="69"/>
        <v>59.603519999999989</v>
      </c>
      <c r="AC52" s="17">
        <f t="shared" si="72"/>
        <v>59.603519999999989</v>
      </c>
      <c r="AD52" s="17">
        <f t="shared" si="75"/>
        <v>59.603519999999989</v>
      </c>
      <c r="AE52" s="17">
        <f t="shared" si="78"/>
        <v>59.603519999999989</v>
      </c>
      <c r="AF52" s="17">
        <f t="shared" si="81"/>
        <v>59.603519999999989</v>
      </c>
      <c r="AG52" s="17">
        <f t="shared" si="84"/>
        <v>59.603519999999989</v>
      </c>
      <c r="AH52" s="17">
        <f t="shared" si="87"/>
        <v>59.603519999999989</v>
      </c>
      <c r="AI52" s="17">
        <f t="shared" si="90"/>
        <v>59.603519999999989</v>
      </c>
      <c r="AJ52" s="17">
        <f t="shared" si="93"/>
        <v>59.603519999999989</v>
      </c>
      <c r="AK52" s="17">
        <f t="shared" si="96"/>
        <v>59.603519999999989</v>
      </c>
      <c r="AL52" s="17">
        <f t="shared" si="99"/>
        <v>59.603519999999989</v>
      </c>
      <c r="AM52" s="17">
        <f t="shared" ref="AM52:AM62" si="102">IF($D24&lt;=20,$H$4*($H$10*$H$11*$H$12-$H$13*$H$14*$H$15)*$H$50/20,0)</f>
        <v>59.603519999999989</v>
      </c>
      <c r="AN52" s="17">
        <f>IF($D23&lt;=20,$H$4*($H$10*$H$11*$H$12-$H$13*$H$14*$H$15)*$H$51/20,0)</f>
        <v>59.603519999999989</v>
      </c>
      <c r="AO52" s="13">
        <f t="shared" si="4"/>
        <v>1192.0703999999996</v>
      </c>
      <c r="AP52" s="53">
        <f t="shared" si="5"/>
        <v>9.2635502047325402E-2</v>
      </c>
      <c r="AQ52" s="37">
        <f t="shared" si="6"/>
        <v>150</v>
      </c>
      <c r="AR52" s="13">
        <f t="shared" si="7"/>
        <v>15830.539999999999</v>
      </c>
      <c r="AS52" s="8">
        <f t="shared" si="8"/>
        <v>592.19999999999982</v>
      </c>
      <c r="AT52" s="3">
        <f t="shared" si="9"/>
        <v>0</v>
      </c>
      <c r="AU52" s="3">
        <f t="shared" si="20"/>
        <v>0</v>
      </c>
      <c r="AV52" s="3">
        <f t="shared" si="23"/>
        <v>0</v>
      </c>
      <c r="AW52" s="3">
        <f t="shared" si="27"/>
        <v>0</v>
      </c>
      <c r="AX52" s="3">
        <f t="shared" si="30"/>
        <v>0</v>
      </c>
      <c r="AY52" s="3">
        <f t="shared" si="33"/>
        <v>0</v>
      </c>
      <c r="AZ52" s="3">
        <f t="shared" si="36"/>
        <v>0</v>
      </c>
      <c r="BA52" s="3">
        <f t="shared" si="39"/>
        <v>0</v>
      </c>
      <c r="BB52" s="3">
        <f t="shared" si="42"/>
        <v>0</v>
      </c>
      <c r="BC52" s="3">
        <f t="shared" si="45"/>
        <v>0</v>
      </c>
      <c r="BD52" s="3">
        <f t="shared" si="48"/>
        <v>186.261</v>
      </c>
      <c r="BE52" s="3">
        <f t="shared" si="51"/>
        <v>186.261</v>
      </c>
      <c r="BF52" s="3">
        <f t="shared" si="54"/>
        <v>186.261</v>
      </c>
      <c r="BG52" s="3">
        <f t="shared" si="57"/>
        <v>186.261</v>
      </c>
      <c r="BH52" s="3">
        <f t="shared" si="60"/>
        <v>186.261</v>
      </c>
      <c r="BI52" s="3">
        <f t="shared" si="63"/>
        <v>186.261</v>
      </c>
      <c r="BJ52" s="3">
        <f t="shared" si="66"/>
        <v>186.261</v>
      </c>
      <c r="BK52" s="3">
        <f t="shared" si="70"/>
        <v>186.261</v>
      </c>
      <c r="BL52" s="3">
        <f t="shared" si="73"/>
        <v>186.261</v>
      </c>
      <c r="BM52" s="3">
        <f t="shared" si="76"/>
        <v>186.261</v>
      </c>
      <c r="BN52" s="3">
        <f t="shared" si="79"/>
        <v>186.261</v>
      </c>
      <c r="BO52" s="3">
        <f t="shared" si="82"/>
        <v>186.261</v>
      </c>
      <c r="BP52" s="3">
        <f t="shared" si="85"/>
        <v>186.261</v>
      </c>
      <c r="BQ52" s="3">
        <f t="shared" si="88"/>
        <v>186.261</v>
      </c>
      <c r="BR52" s="3">
        <f t="shared" si="91"/>
        <v>186.261</v>
      </c>
      <c r="BS52" s="3">
        <f t="shared" si="94"/>
        <v>186.261</v>
      </c>
      <c r="BT52" s="3">
        <f t="shared" si="97"/>
        <v>186.261</v>
      </c>
      <c r="BU52" s="3">
        <f t="shared" si="100"/>
        <v>186.261</v>
      </c>
      <c r="BV52" s="3">
        <f t="shared" ref="BV52:BV62" si="103">IF($D24&lt;=20,$H$4*($H$10*$H$11*$H$12-$H$13*$H$14*$H$15)*$AQ$50/20,0)</f>
        <v>186.261</v>
      </c>
      <c r="BW52" s="17">
        <f>IF($D23&lt;=20,$H$4*($H$10*$H$11*$H$12-$H$13*$H$14*$H$15)*$AQ$51/20,0)</f>
        <v>186.261</v>
      </c>
      <c r="BX52" s="13">
        <f t="shared" si="10"/>
        <v>3725.22</v>
      </c>
      <c r="BY52" s="65">
        <f t="shared" si="11"/>
        <v>0.28948594389789201</v>
      </c>
      <c r="BZ52" s="37">
        <f t="shared" si="12"/>
        <v>300</v>
      </c>
      <c r="CA52" s="13">
        <f t="shared" si="13"/>
        <v>31661.079999999998</v>
      </c>
      <c r="CB52" s="8">
        <f t="shared" si="14"/>
        <v>1184.3999999999996</v>
      </c>
      <c r="CC52" s="3">
        <f t="shared" si="15"/>
        <v>0</v>
      </c>
      <c r="CD52" s="3">
        <f t="shared" si="21"/>
        <v>0</v>
      </c>
      <c r="CE52" s="3">
        <f t="shared" si="24"/>
        <v>0</v>
      </c>
      <c r="CF52" s="3">
        <f t="shared" si="28"/>
        <v>0</v>
      </c>
      <c r="CG52" s="3">
        <f t="shared" si="31"/>
        <v>0</v>
      </c>
      <c r="CH52" s="3">
        <f t="shared" si="34"/>
        <v>0</v>
      </c>
      <c r="CI52" s="3">
        <f t="shared" si="37"/>
        <v>0</v>
      </c>
      <c r="CJ52" s="3">
        <f t="shared" si="40"/>
        <v>0</v>
      </c>
      <c r="CK52" s="3">
        <f t="shared" si="43"/>
        <v>0</v>
      </c>
      <c r="CL52" s="3">
        <f t="shared" si="46"/>
        <v>0</v>
      </c>
      <c r="CM52" s="3">
        <f t="shared" si="49"/>
        <v>372.52199999999999</v>
      </c>
      <c r="CN52" s="3">
        <f t="shared" si="52"/>
        <v>372.52199999999999</v>
      </c>
      <c r="CO52" s="3">
        <f t="shared" si="55"/>
        <v>372.52199999999999</v>
      </c>
      <c r="CP52" s="3">
        <f t="shared" si="58"/>
        <v>372.52199999999999</v>
      </c>
      <c r="CQ52" s="3">
        <f t="shared" si="61"/>
        <v>372.52199999999999</v>
      </c>
      <c r="CR52" s="3">
        <f t="shared" si="64"/>
        <v>372.52199999999999</v>
      </c>
      <c r="CS52" s="3">
        <f t="shared" si="67"/>
        <v>372.52199999999999</v>
      </c>
      <c r="CT52" s="3">
        <f t="shared" si="71"/>
        <v>372.52199999999999</v>
      </c>
      <c r="CU52" s="3">
        <f t="shared" si="74"/>
        <v>372.52199999999999</v>
      </c>
      <c r="CV52" s="3">
        <f t="shared" si="77"/>
        <v>372.52199999999999</v>
      </c>
      <c r="CW52" s="3">
        <f t="shared" si="80"/>
        <v>372.52199999999999</v>
      </c>
      <c r="CX52" s="3">
        <f t="shared" si="83"/>
        <v>372.52199999999999</v>
      </c>
      <c r="CY52" s="3">
        <f t="shared" si="86"/>
        <v>372.52199999999999</v>
      </c>
      <c r="CZ52" s="3">
        <f t="shared" si="89"/>
        <v>372.52199999999999</v>
      </c>
      <c r="DA52" s="3">
        <f t="shared" si="92"/>
        <v>372.52199999999999</v>
      </c>
      <c r="DB52" s="3">
        <f t="shared" si="95"/>
        <v>372.52199999999999</v>
      </c>
      <c r="DC52" s="3">
        <f t="shared" si="98"/>
        <v>372.52199999999999</v>
      </c>
      <c r="DD52" s="3">
        <f t="shared" si="101"/>
        <v>372.52199999999999</v>
      </c>
      <c r="DE52" s="3">
        <f t="shared" ref="DE52:DE62" si="104">IF($D24&lt;=20,$H$4*($H$10*$H$11*$H$12-$H$13*$H$14*$H$15)*$BZ$50/20,0)</f>
        <v>372.52199999999999</v>
      </c>
      <c r="DF52" s="17">
        <f>IF($D23&lt;=20,$H$4*($H$10*$H$11*$H$12-$H$13*$H$14*$H$15)*$BZ$51/20,0)</f>
        <v>372.52199999999999</v>
      </c>
      <c r="DG52" s="13">
        <f t="shared" si="16"/>
        <v>7450.44</v>
      </c>
      <c r="DH52" s="65">
        <f t="shared" si="17"/>
        <v>0.59679544398584528</v>
      </c>
    </row>
    <row r="53" spans="4:112" x14ac:dyDescent="0.4">
      <c r="D53" s="9">
        <f t="shared" si="68"/>
        <v>31</v>
      </c>
      <c r="E53" s="9">
        <f t="shared" si="68"/>
        <v>2047</v>
      </c>
      <c r="F53" s="8">
        <v>53805.004000000001</v>
      </c>
      <c r="G53" s="44">
        <v>0</v>
      </c>
      <c r="H53" s="37">
        <f t="shared" si="1"/>
        <v>0</v>
      </c>
      <c r="I53" s="13">
        <f t="shared" si="2"/>
        <v>4152.3785599999992</v>
      </c>
      <c r="J53" s="8">
        <f t="shared" si="25"/>
        <v>0</v>
      </c>
      <c r="K53" s="3">
        <f t="shared" si="3"/>
        <v>0</v>
      </c>
      <c r="L53" s="3">
        <f t="shared" si="19"/>
        <v>0</v>
      </c>
      <c r="M53" s="3">
        <f t="shared" si="22"/>
        <v>0</v>
      </c>
      <c r="N53" s="3">
        <f t="shared" si="26"/>
        <v>0</v>
      </c>
      <c r="O53" s="3">
        <f t="shared" si="29"/>
        <v>0</v>
      </c>
      <c r="P53" s="3">
        <f t="shared" si="32"/>
        <v>0</v>
      </c>
      <c r="Q53" s="3">
        <f t="shared" si="35"/>
        <v>0</v>
      </c>
      <c r="R53" s="3">
        <f t="shared" si="38"/>
        <v>0</v>
      </c>
      <c r="S53" s="3">
        <f t="shared" si="41"/>
        <v>0</v>
      </c>
      <c r="T53" s="3">
        <f t="shared" si="44"/>
        <v>0</v>
      </c>
      <c r="U53" s="3">
        <f t="shared" si="47"/>
        <v>0</v>
      </c>
      <c r="V53" s="3">
        <f t="shared" si="50"/>
        <v>59.603519999999989</v>
      </c>
      <c r="W53" s="3">
        <f t="shared" si="53"/>
        <v>59.603519999999989</v>
      </c>
      <c r="X53" s="3">
        <f t="shared" si="56"/>
        <v>59.603519999999989</v>
      </c>
      <c r="Y53" s="3">
        <f t="shared" si="59"/>
        <v>59.603519999999989</v>
      </c>
      <c r="Z53" s="3">
        <f t="shared" si="62"/>
        <v>59.603519999999989</v>
      </c>
      <c r="AA53" s="3">
        <f t="shared" si="65"/>
        <v>59.603519999999989</v>
      </c>
      <c r="AB53" s="3">
        <f t="shared" si="69"/>
        <v>59.603519999999989</v>
      </c>
      <c r="AC53" s="3">
        <f t="shared" si="72"/>
        <v>59.603519999999989</v>
      </c>
      <c r="AD53" s="3">
        <f t="shared" si="75"/>
        <v>59.603519999999989</v>
      </c>
      <c r="AE53" s="3">
        <f t="shared" si="78"/>
        <v>59.603519999999989</v>
      </c>
      <c r="AF53" s="3">
        <f t="shared" si="81"/>
        <v>59.603519999999989</v>
      </c>
      <c r="AG53" s="3">
        <f t="shared" si="84"/>
        <v>59.603519999999989</v>
      </c>
      <c r="AH53" s="3">
        <f t="shared" si="87"/>
        <v>59.603519999999989</v>
      </c>
      <c r="AI53" s="3">
        <f t="shared" si="90"/>
        <v>59.603519999999989</v>
      </c>
      <c r="AJ53" s="3">
        <f t="shared" si="93"/>
        <v>59.603519999999989</v>
      </c>
      <c r="AK53" s="3">
        <f t="shared" si="96"/>
        <v>59.603519999999989</v>
      </c>
      <c r="AL53" s="3">
        <f t="shared" si="99"/>
        <v>59.603519999999989</v>
      </c>
      <c r="AM53" s="3">
        <f t="shared" si="102"/>
        <v>59.603519999999989</v>
      </c>
      <c r="AN53" s="3">
        <f t="shared" ref="AN53:AN62" si="105">IF($D24&lt;=20,$H$4*($H$10*$H$11*$H$12-$H$13*$H$14*$H$15)*$H$51/20,0)</f>
        <v>59.603519999999989</v>
      </c>
      <c r="AO53" s="8">
        <f t="shared" si="4"/>
        <v>1132.4668799999997</v>
      </c>
      <c r="AP53" s="53">
        <f t="shared" si="5"/>
        <v>7.7174579524239034E-2</v>
      </c>
      <c r="AQ53" s="37">
        <f t="shared" si="6"/>
        <v>0</v>
      </c>
      <c r="AR53" s="13">
        <f t="shared" si="7"/>
        <v>12976.182999999999</v>
      </c>
      <c r="AS53" s="8">
        <f t="shared" si="8"/>
        <v>0</v>
      </c>
      <c r="AT53" s="3">
        <f t="shared" si="9"/>
        <v>0</v>
      </c>
      <c r="AU53" s="3">
        <f t="shared" si="20"/>
        <v>0</v>
      </c>
      <c r="AV53" s="3">
        <f t="shared" si="23"/>
        <v>0</v>
      </c>
      <c r="AW53" s="3">
        <f t="shared" si="27"/>
        <v>0</v>
      </c>
      <c r="AX53" s="3">
        <f t="shared" si="30"/>
        <v>0</v>
      </c>
      <c r="AY53" s="3">
        <f t="shared" si="33"/>
        <v>0</v>
      </c>
      <c r="AZ53" s="3">
        <f t="shared" si="36"/>
        <v>0</v>
      </c>
      <c r="BA53" s="3">
        <f t="shared" si="39"/>
        <v>0</v>
      </c>
      <c r="BB53" s="3">
        <f t="shared" si="42"/>
        <v>0</v>
      </c>
      <c r="BC53" s="3">
        <f t="shared" si="45"/>
        <v>0</v>
      </c>
      <c r="BD53" s="3">
        <f t="shared" si="48"/>
        <v>0</v>
      </c>
      <c r="BE53" s="3">
        <f t="shared" si="51"/>
        <v>186.261</v>
      </c>
      <c r="BF53" s="3">
        <f t="shared" si="54"/>
        <v>186.261</v>
      </c>
      <c r="BG53" s="3">
        <f t="shared" si="57"/>
        <v>186.261</v>
      </c>
      <c r="BH53" s="3">
        <f t="shared" si="60"/>
        <v>186.261</v>
      </c>
      <c r="BI53" s="3">
        <f t="shared" si="63"/>
        <v>186.261</v>
      </c>
      <c r="BJ53" s="3">
        <f t="shared" si="66"/>
        <v>186.261</v>
      </c>
      <c r="BK53" s="3">
        <f t="shared" si="70"/>
        <v>186.261</v>
      </c>
      <c r="BL53" s="3">
        <f t="shared" si="73"/>
        <v>186.261</v>
      </c>
      <c r="BM53" s="3">
        <f t="shared" si="76"/>
        <v>186.261</v>
      </c>
      <c r="BN53" s="3">
        <f t="shared" si="79"/>
        <v>186.261</v>
      </c>
      <c r="BO53" s="3">
        <f t="shared" si="82"/>
        <v>186.261</v>
      </c>
      <c r="BP53" s="3">
        <f t="shared" si="85"/>
        <v>186.261</v>
      </c>
      <c r="BQ53" s="3">
        <f t="shared" si="88"/>
        <v>186.261</v>
      </c>
      <c r="BR53" s="3">
        <f t="shared" si="91"/>
        <v>186.261</v>
      </c>
      <c r="BS53" s="3">
        <f t="shared" si="94"/>
        <v>186.261</v>
      </c>
      <c r="BT53" s="3">
        <f t="shared" si="97"/>
        <v>186.261</v>
      </c>
      <c r="BU53" s="3">
        <f t="shared" si="100"/>
        <v>186.261</v>
      </c>
      <c r="BV53" s="3">
        <f t="shared" si="103"/>
        <v>186.261</v>
      </c>
      <c r="BW53" s="17">
        <f t="shared" ref="BW53:BW62" si="106">IF($D24&lt;=20,$H$4*($H$10*$H$11*$H$12-$H$13*$H$14*$H$15)*$AQ$51/20,0)</f>
        <v>186.261</v>
      </c>
      <c r="BX53" s="8">
        <f t="shared" si="10"/>
        <v>3538.9589999999998</v>
      </c>
      <c r="BY53" s="65">
        <f t="shared" si="11"/>
        <v>0.24117056101324699</v>
      </c>
      <c r="BZ53" s="37">
        <f t="shared" si="12"/>
        <v>0</v>
      </c>
      <c r="CA53" s="13">
        <f t="shared" si="13"/>
        <v>25952.365999999998</v>
      </c>
      <c r="CB53" s="8">
        <f t="shared" si="14"/>
        <v>0</v>
      </c>
      <c r="CC53" s="3">
        <f t="shared" si="15"/>
        <v>0</v>
      </c>
      <c r="CD53" s="3">
        <f t="shared" si="21"/>
        <v>0</v>
      </c>
      <c r="CE53" s="3">
        <f t="shared" si="24"/>
        <v>0</v>
      </c>
      <c r="CF53" s="3">
        <f t="shared" si="28"/>
        <v>0</v>
      </c>
      <c r="CG53" s="3">
        <f t="shared" si="31"/>
        <v>0</v>
      </c>
      <c r="CH53" s="3">
        <f t="shared" si="34"/>
        <v>0</v>
      </c>
      <c r="CI53" s="3">
        <f t="shared" si="37"/>
        <v>0</v>
      </c>
      <c r="CJ53" s="3">
        <f t="shared" si="40"/>
        <v>0</v>
      </c>
      <c r="CK53" s="3">
        <f t="shared" si="43"/>
        <v>0</v>
      </c>
      <c r="CL53" s="3">
        <f t="shared" si="46"/>
        <v>0</v>
      </c>
      <c r="CM53" s="3">
        <f t="shared" si="49"/>
        <v>0</v>
      </c>
      <c r="CN53" s="3">
        <f t="shared" si="52"/>
        <v>372.52199999999999</v>
      </c>
      <c r="CO53" s="3">
        <f t="shared" si="55"/>
        <v>372.52199999999999</v>
      </c>
      <c r="CP53" s="3">
        <f t="shared" si="58"/>
        <v>372.52199999999999</v>
      </c>
      <c r="CQ53" s="3">
        <f t="shared" si="61"/>
        <v>372.52199999999999</v>
      </c>
      <c r="CR53" s="3">
        <f t="shared" si="64"/>
        <v>372.52199999999999</v>
      </c>
      <c r="CS53" s="3">
        <f t="shared" si="67"/>
        <v>372.52199999999999</v>
      </c>
      <c r="CT53" s="3">
        <f t="shared" si="71"/>
        <v>372.52199999999999</v>
      </c>
      <c r="CU53" s="3">
        <f t="shared" si="74"/>
        <v>372.52199999999999</v>
      </c>
      <c r="CV53" s="3">
        <f t="shared" si="77"/>
        <v>372.52199999999999</v>
      </c>
      <c r="CW53" s="3">
        <f t="shared" si="80"/>
        <v>372.52199999999999</v>
      </c>
      <c r="CX53" s="3">
        <f t="shared" si="83"/>
        <v>372.52199999999999</v>
      </c>
      <c r="CY53" s="3">
        <f t="shared" si="86"/>
        <v>372.52199999999999</v>
      </c>
      <c r="CZ53" s="3">
        <f t="shared" si="89"/>
        <v>372.52199999999999</v>
      </c>
      <c r="DA53" s="3">
        <f t="shared" si="92"/>
        <v>372.52199999999999</v>
      </c>
      <c r="DB53" s="3">
        <f t="shared" si="95"/>
        <v>372.52199999999999</v>
      </c>
      <c r="DC53" s="3">
        <f t="shared" si="98"/>
        <v>372.52199999999999</v>
      </c>
      <c r="DD53" s="3">
        <f t="shared" si="101"/>
        <v>372.52199999999999</v>
      </c>
      <c r="DE53" s="3">
        <f t="shared" si="104"/>
        <v>372.52199999999999</v>
      </c>
      <c r="DF53" s="17">
        <f t="shared" ref="DF53:DF62" si="107">IF($D24&lt;=20,$H$4*($H$10*$H$11*$H$12-$H$13*$H$14*$H$15)*$BZ$51/20,0)</f>
        <v>372.52199999999999</v>
      </c>
      <c r="DG53" s="8">
        <f t="shared" si="16"/>
        <v>7077.9179999999997</v>
      </c>
      <c r="DH53" s="65">
        <f t="shared" si="17"/>
        <v>0.48918905449381878</v>
      </c>
    </row>
    <row r="54" spans="4:112" x14ac:dyDescent="0.4">
      <c r="D54" s="9">
        <f t="shared" si="68"/>
        <v>32</v>
      </c>
      <c r="E54" s="9">
        <f t="shared" si="68"/>
        <v>2048</v>
      </c>
      <c r="F54" s="8">
        <v>52925.004000000001</v>
      </c>
      <c r="G54" s="44">
        <v>0</v>
      </c>
      <c r="H54" s="37">
        <f t="shared" si="1"/>
        <v>0</v>
      </c>
      <c r="I54" s="13">
        <f t="shared" si="2"/>
        <v>3933.8323199999991</v>
      </c>
      <c r="J54" s="8">
        <f t="shared" si="25"/>
        <v>0</v>
      </c>
      <c r="K54" s="3">
        <f t="shared" si="3"/>
        <v>0</v>
      </c>
      <c r="L54" s="3">
        <f t="shared" si="19"/>
        <v>0</v>
      </c>
      <c r="M54" s="3">
        <f t="shared" si="22"/>
        <v>0</v>
      </c>
      <c r="N54" s="3">
        <f t="shared" si="26"/>
        <v>0</v>
      </c>
      <c r="O54" s="3">
        <f t="shared" si="29"/>
        <v>0</v>
      </c>
      <c r="P54" s="3">
        <f t="shared" si="32"/>
        <v>0</v>
      </c>
      <c r="Q54" s="3">
        <f t="shared" si="35"/>
        <v>0</v>
      </c>
      <c r="R54" s="3">
        <f t="shared" si="38"/>
        <v>0</v>
      </c>
      <c r="S54" s="3">
        <f t="shared" si="41"/>
        <v>0</v>
      </c>
      <c r="T54" s="3">
        <f t="shared" si="44"/>
        <v>0</v>
      </c>
      <c r="U54" s="3">
        <f t="shared" si="47"/>
        <v>0</v>
      </c>
      <c r="V54" s="3">
        <f t="shared" si="50"/>
        <v>0</v>
      </c>
      <c r="W54" s="3">
        <f t="shared" si="53"/>
        <v>59.603519999999989</v>
      </c>
      <c r="X54" s="3">
        <f t="shared" si="56"/>
        <v>59.603519999999989</v>
      </c>
      <c r="Y54" s="3">
        <f t="shared" si="59"/>
        <v>59.603519999999989</v>
      </c>
      <c r="Z54" s="3">
        <f t="shared" si="62"/>
        <v>59.603519999999989</v>
      </c>
      <c r="AA54" s="3">
        <f t="shared" si="65"/>
        <v>59.603519999999989</v>
      </c>
      <c r="AB54" s="3">
        <f t="shared" si="69"/>
        <v>59.603519999999989</v>
      </c>
      <c r="AC54" s="3">
        <f t="shared" si="72"/>
        <v>59.603519999999989</v>
      </c>
      <c r="AD54" s="3">
        <f t="shared" si="75"/>
        <v>59.603519999999989</v>
      </c>
      <c r="AE54" s="3">
        <f t="shared" si="78"/>
        <v>59.603519999999989</v>
      </c>
      <c r="AF54" s="3">
        <f t="shared" si="81"/>
        <v>59.603519999999989</v>
      </c>
      <c r="AG54" s="3">
        <f t="shared" si="84"/>
        <v>59.603519999999989</v>
      </c>
      <c r="AH54" s="3">
        <f t="shared" si="87"/>
        <v>59.603519999999989</v>
      </c>
      <c r="AI54" s="3">
        <f t="shared" si="90"/>
        <v>59.603519999999989</v>
      </c>
      <c r="AJ54" s="3">
        <f t="shared" si="93"/>
        <v>59.603519999999989</v>
      </c>
      <c r="AK54" s="3">
        <f t="shared" si="96"/>
        <v>59.603519999999989</v>
      </c>
      <c r="AL54" s="3">
        <f t="shared" si="99"/>
        <v>59.603519999999989</v>
      </c>
      <c r="AM54" s="3">
        <f t="shared" si="102"/>
        <v>59.603519999999989</v>
      </c>
      <c r="AN54" s="3">
        <f t="shared" si="105"/>
        <v>59.603519999999989</v>
      </c>
      <c r="AO54" s="8">
        <f t="shared" si="4"/>
        <v>1072.8633599999998</v>
      </c>
      <c r="AP54" s="53">
        <f t="shared" si="5"/>
        <v>7.4328427448016807E-2</v>
      </c>
      <c r="AQ54" s="37">
        <f t="shared" si="6"/>
        <v>0</v>
      </c>
      <c r="AR54" s="13">
        <f t="shared" si="7"/>
        <v>12293.225999999999</v>
      </c>
      <c r="AS54" s="8">
        <f t="shared" si="8"/>
        <v>0</v>
      </c>
      <c r="AT54" s="3">
        <f t="shared" si="9"/>
        <v>0</v>
      </c>
      <c r="AU54" s="3">
        <f t="shared" si="20"/>
        <v>0</v>
      </c>
      <c r="AV54" s="3">
        <f t="shared" si="23"/>
        <v>0</v>
      </c>
      <c r="AW54" s="3">
        <f t="shared" si="27"/>
        <v>0</v>
      </c>
      <c r="AX54" s="3">
        <f t="shared" si="30"/>
        <v>0</v>
      </c>
      <c r="AY54" s="3">
        <f t="shared" si="33"/>
        <v>0</v>
      </c>
      <c r="AZ54" s="3">
        <f t="shared" si="36"/>
        <v>0</v>
      </c>
      <c r="BA54" s="3">
        <f t="shared" si="39"/>
        <v>0</v>
      </c>
      <c r="BB54" s="3">
        <f t="shared" si="42"/>
        <v>0</v>
      </c>
      <c r="BC54" s="3">
        <f t="shared" si="45"/>
        <v>0</v>
      </c>
      <c r="BD54" s="3">
        <f t="shared" si="48"/>
        <v>0</v>
      </c>
      <c r="BE54" s="3">
        <f t="shared" si="51"/>
        <v>0</v>
      </c>
      <c r="BF54" s="3">
        <f t="shared" si="54"/>
        <v>186.261</v>
      </c>
      <c r="BG54" s="3">
        <f t="shared" si="57"/>
        <v>186.261</v>
      </c>
      <c r="BH54" s="3">
        <f t="shared" si="60"/>
        <v>186.261</v>
      </c>
      <c r="BI54" s="3">
        <f t="shared" si="63"/>
        <v>186.261</v>
      </c>
      <c r="BJ54" s="3">
        <f t="shared" si="66"/>
        <v>186.261</v>
      </c>
      <c r="BK54" s="3">
        <f t="shared" si="70"/>
        <v>186.261</v>
      </c>
      <c r="BL54" s="3">
        <f t="shared" si="73"/>
        <v>186.261</v>
      </c>
      <c r="BM54" s="3">
        <f t="shared" si="76"/>
        <v>186.261</v>
      </c>
      <c r="BN54" s="3">
        <f t="shared" si="79"/>
        <v>186.261</v>
      </c>
      <c r="BO54" s="3">
        <f t="shared" si="82"/>
        <v>186.261</v>
      </c>
      <c r="BP54" s="3">
        <f t="shared" si="85"/>
        <v>186.261</v>
      </c>
      <c r="BQ54" s="3">
        <f t="shared" si="88"/>
        <v>186.261</v>
      </c>
      <c r="BR54" s="3">
        <f t="shared" si="91"/>
        <v>186.261</v>
      </c>
      <c r="BS54" s="3">
        <f t="shared" si="94"/>
        <v>186.261</v>
      </c>
      <c r="BT54" s="3">
        <f t="shared" si="97"/>
        <v>186.261</v>
      </c>
      <c r="BU54" s="3">
        <f t="shared" si="100"/>
        <v>186.261</v>
      </c>
      <c r="BV54" s="3">
        <f t="shared" si="103"/>
        <v>186.261</v>
      </c>
      <c r="BW54" s="17">
        <f t="shared" si="106"/>
        <v>186.261</v>
      </c>
      <c r="BX54" s="8">
        <f t="shared" si="10"/>
        <v>3352.6979999999999</v>
      </c>
      <c r="BY54" s="65">
        <f t="shared" si="11"/>
        <v>0.23227633577505252</v>
      </c>
      <c r="BZ54" s="37">
        <f t="shared" si="12"/>
        <v>0</v>
      </c>
      <c r="CA54" s="13">
        <f t="shared" si="13"/>
        <v>24586.451999999997</v>
      </c>
      <c r="CB54" s="8">
        <f t="shared" si="14"/>
        <v>0</v>
      </c>
      <c r="CC54" s="3">
        <f t="shared" si="15"/>
        <v>0</v>
      </c>
      <c r="CD54" s="3">
        <f t="shared" si="21"/>
        <v>0</v>
      </c>
      <c r="CE54" s="3">
        <f t="shared" si="24"/>
        <v>0</v>
      </c>
      <c r="CF54" s="3">
        <f t="shared" si="28"/>
        <v>0</v>
      </c>
      <c r="CG54" s="3">
        <f t="shared" si="31"/>
        <v>0</v>
      </c>
      <c r="CH54" s="3">
        <f t="shared" si="34"/>
        <v>0</v>
      </c>
      <c r="CI54" s="3">
        <f t="shared" si="37"/>
        <v>0</v>
      </c>
      <c r="CJ54" s="3">
        <f t="shared" si="40"/>
        <v>0</v>
      </c>
      <c r="CK54" s="3">
        <f t="shared" si="43"/>
        <v>0</v>
      </c>
      <c r="CL54" s="3">
        <f t="shared" si="46"/>
        <v>0</v>
      </c>
      <c r="CM54" s="3">
        <f t="shared" si="49"/>
        <v>0</v>
      </c>
      <c r="CN54" s="3">
        <f t="shared" si="52"/>
        <v>0</v>
      </c>
      <c r="CO54" s="3">
        <f t="shared" si="55"/>
        <v>372.52199999999999</v>
      </c>
      <c r="CP54" s="3">
        <f t="shared" si="58"/>
        <v>372.52199999999999</v>
      </c>
      <c r="CQ54" s="3">
        <f t="shared" si="61"/>
        <v>372.52199999999999</v>
      </c>
      <c r="CR54" s="3">
        <f t="shared" si="64"/>
        <v>372.52199999999999</v>
      </c>
      <c r="CS54" s="3">
        <f t="shared" si="67"/>
        <v>372.52199999999999</v>
      </c>
      <c r="CT54" s="3">
        <f t="shared" si="71"/>
        <v>372.52199999999999</v>
      </c>
      <c r="CU54" s="3">
        <f t="shared" si="74"/>
        <v>372.52199999999999</v>
      </c>
      <c r="CV54" s="3">
        <f t="shared" si="77"/>
        <v>372.52199999999999</v>
      </c>
      <c r="CW54" s="3">
        <f t="shared" si="80"/>
        <v>372.52199999999999</v>
      </c>
      <c r="CX54" s="3">
        <f t="shared" si="83"/>
        <v>372.52199999999999</v>
      </c>
      <c r="CY54" s="3">
        <f t="shared" si="86"/>
        <v>372.52199999999999</v>
      </c>
      <c r="CZ54" s="3">
        <f t="shared" si="89"/>
        <v>372.52199999999999</v>
      </c>
      <c r="DA54" s="3">
        <f t="shared" si="92"/>
        <v>372.52199999999999</v>
      </c>
      <c r="DB54" s="3">
        <f t="shared" si="95"/>
        <v>372.52199999999999</v>
      </c>
      <c r="DC54" s="3">
        <f t="shared" si="98"/>
        <v>372.52199999999999</v>
      </c>
      <c r="DD54" s="3">
        <f t="shared" si="101"/>
        <v>372.52199999999999</v>
      </c>
      <c r="DE54" s="3">
        <f t="shared" si="104"/>
        <v>372.52199999999999</v>
      </c>
      <c r="DF54" s="17">
        <f t="shared" si="107"/>
        <v>372.52199999999999</v>
      </c>
      <c r="DG54" s="8">
        <f t="shared" si="16"/>
        <v>6705.3959999999997</v>
      </c>
      <c r="DH54" s="65">
        <f t="shared" si="17"/>
        <v>0.46344226215203882</v>
      </c>
    </row>
    <row r="55" spans="4:112" x14ac:dyDescent="0.4">
      <c r="D55" s="9">
        <f t="shared" si="68"/>
        <v>33</v>
      </c>
      <c r="E55" s="9">
        <f t="shared" si="68"/>
        <v>2049</v>
      </c>
      <c r="F55" s="8">
        <v>52045.004000000001</v>
      </c>
      <c r="G55" s="44">
        <v>0</v>
      </c>
      <c r="H55" s="37">
        <f t="shared" si="1"/>
        <v>0</v>
      </c>
      <c r="I55" s="13">
        <f t="shared" si="2"/>
        <v>3715.2860799999999</v>
      </c>
      <c r="J55" s="8">
        <f t="shared" si="25"/>
        <v>0</v>
      </c>
      <c r="K55" s="3">
        <f t="shared" si="3"/>
        <v>0</v>
      </c>
      <c r="L55" s="3">
        <f t="shared" si="19"/>
        <v>0</v>
      </c>
      <c r="M55" s="3">
        <f t="shared" si="22"/>
        <v>0</v>
      </c>
      <c r="N55" s="3">
        <f t="shared" si="26"/>
        <v>0</v>
      </c>
      <c r="O55" s="3">
        <f t="shared" si="29"/>
        <v>0</v>
      </c>
      <c r="P55" s="3">
        <f t="shared" si="32"/>
        <v>0</v>
      </c>
      <c r="Q55" s="3">
        <f t="shared" si="35"/>
        <v>0</v>
      </c>
      <c r="R55" s="3">
        <f t="shared" si="38"/>
        <v>0</v>
      </c>
      <c r="S55" s="3">
        <f t="shared" si="41"/>
        <v>0</v>
      </c>
      <c r="T55" s="3">
        <f t="shared" si="44"/>
        <v>0</v>
      </c>
      <c r="U55" s="3">
        <f t="shared" si="47"/>
        <v>0</v>
      </c>
      <c r="V55" s="3">
        <f t="shared" si="50"/>
        <v>0</v>
      </c>
      <c r="W55" s="3">
        <f t="shared" si="53"/>
        <v>0</v>
      </c>
      <c r="X55" s="3">
        <f t="shared" si="56"/>
        <v>59.603519999999989</v>
      </c>
      <c r="Y55" s="3">
        <f t="shared" si="59"/>
        <v>59.603519999999989</v>
      </c>
      <c r="Z55" s="3">
        <f t="shared" si="62"/>
        <v>59.603519999999989</v>
      </c>
      <c r="AA55" s="3">
        <f t="shared" si="65"/>
        <v>59.603519999999989</v>
      </c>
      <c r="AB55" s="3">
        <f t="shared" si="69"/>
        <v>59.603519999999989</v>
      </c>
      <c r="AC55" s="3">
        <f t="shared" si="72"/>
        <v>59.603519999999989</v>
      </c>
      <c r="AD55" s="3">
        <f t="shared" si="75"/>
        <v>59.603519999999989</v>
      </c>
      <c r="AE55" s="3">
        <f t="shared" si="78"/>
        <v>59.603519999999989</v>
      </c>
      <c r="AF55" s="3">
        <f t="shared" si="81"/>
        <v>59.603519999999989</v>
      </c>
      <c r="AG55" s="3">
        <f t="shared" si="84"/>
        <v>59.603519999999989</v>
      </c>
      <c r="AH55" s="3">
        <f t="shared" si="87"/>
        <v>59.603519999999989</v>
      </c>
      <c r="AI55" s="3">
        <f t="shared" si="90"/>
        <v>59.603519999999989</v>
      </c>
      <c r="AJ55" s="3">
        <f t="shared" si="93"/>
        <v>59.603519999999989</v>
      </c>
      <c r="AK55" s="3">
        <f t="shared" si="96"/>
        <v>59.603519999999989</v>
      </c>
      <c r="AL55" s="3">
        <f t="shared" si="99"/>
        <v>59.603519999999989</v>
      </c>
      <c r="AM55" s="3">
        <f t="shared" si="102"/>
        <v>59.603519999999989</v>
      </c>
      <c r="AN55" s="3">
        <f t="shared" si="105"/>
        <v>59.603519999999989</v>
      </c>
      <c r="AO55" s="8">
        <f t="shared" si="4"/>
        <v>1013.2598399999999</v>
      </c>
      <c r="AP55" s="53">
        <f t="shared" si="5"/>
        <v>7.1386027369697194E-2</v>
      </c>
      <c r="AQ55" s="37">
        <f t="shared" si="6"/>
        <v>0</v>
      </c>
      <c r="AR55" s="13">
        <f t="shared" si="7"/>
        <v>11610.268999999998</v>
      </c>
      <c r="AS55" s="8">
        <f t="shared" si="8"/>
        <v>0</v>
      </c>
      <c r="AT55" s="3">
        <f t="shared" si="9"/>
        <v>0</v>
      </c>
      <c r="AU55" s="3">
        <f t="shared" si="20"/>
        <v>0</v>
      </c>
      <c r="AV55" s="3">
        <f t="shared" si="23"/>
        <v>0</v>
      </c>
      <c r="AW55" s="3">
        <f t="shared" si="27"/>
        <v>0</v>
      </c>
      <c r="AX55" s="3">
        <f t="shared" si="30"/>
        <v>0</v>
      </c>
      <c r="AY55" s="3">
        <f t="shared" si="33"/>
        <v>0</v>
      </c>
      <c r="AZ55" s="3">
        <f t="shared" si="36"/>
        <v>0</v>
      </c>
      <c r="BA55" s="3">
        <f t="shared" si="39"/>
        <v>0</v>
      </c>
      <c r="BB55" s="3">
        <f t="shared" si="42"/>
        <v>0</v>
      </c>
      <c r="BC55" s="3">
        <f t="shared" si="45"/>
        <v>0</v>
      </c>
      <c r="BD55" s="3">
        <f t="shared" si="48"/>
        <v>0</v>
      </c>
      <c r="BE55" s="3">
        <f t="shared" si="51"/>
        <v>0</v>
      </c>
      <c r="BF55" s="3">
        <f t="shared" si="54"/>
        <v>0</v>
      </c>
      <c r="BG55" s="3">
        <f t="shared" si="57"/>
        <v>186.261</v>
      </c>
      <c r="BH55" s="3">
        <f t="shared" si="60"/>
        <v>186.261</v>
      </c>
      <c r="BI55" s="3">
        <f t="shared" si="63"/>
        <v>186.261</v>
      </c>
      <c r="BJ55" s="3">
        <f t="shared" si="66"/>
        <v>186.261</v>
      </c>
      <c r="BK55" s="3">
        <f t="shared" si="70"/>
        <v>186.261</v>
      </c>
      <c r="BL55" s="3">
        <f t="shared" si="73"/>
        <v>186.261</v>
      </c>
      <c r="BM55" s="3">
        <f t="shared" si="76"/>
        <v>186.261</v>
      </c>
      <c r="BN55" s="3">
        <f t="shared" si="79"/>
        <v>186.261</v>
      </c>
      <c r="BO55" s="3">
        <f t="shared" si="82"/>
        <v>186.261</v>
      </c>
      <c r="BP55" s="3">
        <f t="shared" si="85"/>
        <v>186.261</v>
      </c>
      <c r="BQ55" s="3">
        <f t="shared" si="88"/>
        <v>186.261</v>
      </c>
      <c r="BR55" s="3">
        <f t="shared" si="91"/>
        <v>186.261</v>
      </c>
      <c r="BS55" s="3">
        <f t="shared" si="94"/>
        <v>186.261</v>
      </c>
      <c r="BT55" s="3">
        <f t="shared" si="97"/>
        <v>186.261</v>
      </c>
      <c r="BU55" s="3">
        <f t="shared" si="100"/>
        <v>186.261</v>
      </c>
      <c r="BV55" s="3">
        <f t="shared" si="103"/>
        <v>186.261</v>
      </c>
      <c r="BW55" s="17">
        <f t="shared" si="106"/>
        <v>186.261</v>
      </c>
      <c r="BX55" s="8">
        <f t="shared" si="10"/>
        <v>3166.4369999999999</v>
      </c>
      <c r="BY55" s="65">
        <f t="shared" si="11"/>
        <v>0.22308133553030371</v>
      </c>
      <c r="BZ55" s="37">
        <f t="shared" si="12"/>
        <v>0</v>
      </c>
      <c r="CA55" s="13">
        <f t="shared" si="13"/>
        <v>23220.537999999997</v>
      </c>
      <c r="CB55" s="8">
        <f t="shared" si="14"/>
        <v>0</v>
      </c>
      <c r="CC55" s="3">
        <f t="shared" si="15"/>
        <v>0</v>
      </c>
      <c r="CD55" s="3">
        <f t="shared" si="21"/>
        <v>0</v>
      </c>
      <c r="CE55" s="3">
        <f t="shared" si="24"/>
        <v>0</v>
      </c>
      <c r="CF55" s="3">
        <f t="shared" si="28"/>
        <v>0</v>
      </c>
      <c r="CG55" s="3">
        <f t="shared" si="31"/>
        <v>0</v>
      </c>
      <c r="CH55" s="3">
        <f t="shared" si="34"/>
        <v>0</v>
      </c>
      <c r="CI55" s="3">
        <f t="shared" si="37"/>
        <v>0</v>
      </c>
      <c r="CJ55" s="3">
        <f t="shared" si="40"/>
        <v>0</v>
      </c>
      <c r="CK55" s="3">
        <f t="shared" si="43"/>
        <v>0</v>
      </c>
      <c r="CL55" s="3">
        <f t="shared" si="46"/>
        <v>0</v>
      </c>
      <c r="CM55" s="3">
        <f t="shared" si="49"/>
        <v>0</v>
      </c>
      <c r="CN55" s="3">
        <f t="shared" si="52"/>
        <v>0</v>
      </c>
      <c r="CO55" s="3">
        <f t="shared" si="55"/>
        <v>0</v>
      </c>
      <c r="CP55" s="3">
        <f t="shared" si="58"/>
        <v>372.52199999999999</v>
      </c>
      <c r="CQ55" s="3">
        <f t="shared" si="61"/>
        <v>372.52199999999999</v>
      </c>
      <c r="CR55" s="3">
        <f t="shared" si="64"/>
        <v>372.52199999999999</v>
      </c>
      <c r="CS55" s="3">
        <f t="shared" si="67"/>
        <v>372.52199999999999</v>
      </c>
      <c r="CT55" s="3">
        <f t="shared" si="71"/>
        <v>372.52199999999999</v>
      </c>
      <c r="CU55" s="3">
        <f t="shared" si="74"/>
        <v>372.52199999999999</v>
      </c>
      <c r="CV55" s="3">
        <f t="shared" si="77"/>
        <v>372.52199999999999</v>
      </c>
      <c r="CW55" s="3">
        <f t="shared" si="80"/>
        <v>372.52199999999999</v>
      </c>
      <c r="CX55" s="3">
        <f t="shared" si="83"/>
        <v>372.52199999999999</v>
      </c>
      <c r="CY55" s="3">
        <f t="shared" si="86"/>
        <v>372.52199999999999</v>
      </c>
      <c r="CZ55" s="3">
        <f t="shared" si="89"/>
        <v>372.52199999999999</v>
      </c>
      <c r="DA55" s="3">
        <f t="shared" si="92"/>
        <v>372.52199999999999</v>
      </c>
      <c r="DB55" s="3">
        <f t="shared" si="95"/>
        <v>372.52199999999999</v>
      </c>
      <c r="DC55" s="3">
        <f t="shared" si="98"/>
        <v>372.52199999999999</v>
      </c>
      <c r="DD55" s="3">
        <f t="shared" si="101"/>
        <v>372.52199999999999</v>
      </c>
      <c r="DE55" s="3">
        <f t="shared" si="104"/>
        <v>372.52199999999999</v>
      </c>
      <c r="DF55" s="17">
        <f t="shared" si="107"/>
        <v>372.52199999999999</v>
      </c>
      <c r="DG55" s="8">
        <f t="shared" si="16"/>
        <v>6332.8739999999998</v>
      </c>
      <c r="DH55" s="65">
        <f t="shared" si="17"/>
        <v>0.43769546981025886</v>
      </c>
    </row>
    <row r="56" spans="4:112" x14ac:dyDescent="0.4">
      <c r="D56" s="9">
        <f t="shared" si="68"/>
        <v>34</v>
      </c>
      <c r="E56" s="9">
        <f t="shared" si="68"/>
        <v>2050</v>
      </c>
      <c r="F56" s="8">
        <v>51165.004000000001</v>
      </c>
      <c r="G56" s="44">
        <v>0</v>
      </c>
      <c r="H56" s="37">
        <f t="shared" si="1"/>
        <v>0</v>
      </c>
      <c r="I56" s="13">
        <f t="shared" si="2"/>
        <v>3496.7398399999997</v>
      </c>
      <c r="J56" s="8">
        <f t="shared" si="25"/>
        <v>0</v>
      </c>
      <c r="K56" s="3">
        <f t="shared" si="3"/>
        <v>0</v>
      </c>
      <c r="L56" s="3">
        <f t="shared" si="19"/>
        <v>0</v>
      </c>
      <c r="M56" s="3">
        <f t="shared" si="22"/>
        <v>0</v>
      </c>
      <c r="N56" s="3">
        <f t="shared" si="26"/>
        <v>0</v>
      </c>
      <c r="O56" s="3">
        <f t="shared" si="29"/>
        <v>0</v>
      </c>
      <c r="P56" s="3">
        <f t="shared" si="32"/>
        <v>0</v>
      </c>
      <c r="Q56" s="3">
        <f t="shared" si="35"/>
        <v>0</v>
      </c>
      <c r="R56" s="3">
        <f t="shared" si="38"/>
        <v>0</v>
      </c>
      <c r="S56" s="3">
        <f t="shared" si="41"/>
        <v>0</v>
      </c>
      <c r="T56" s="3">
        <f t="shared" si="44"/>
        <v>0</v>
      </c>
      <c r="U56" s="3">
        <f t="shared" si="47"/>
        <v>0</v>
      </c>
      <c r="V56" s="3">
        <f t="shared" si="50"/>
        <v>0</v>
      </c>
      <c r="W56" s="3">
        <f t="shared" si="53"/>
        <v>0</v>
      </c>
      <c r="X56" s="3">
        <f t="shared" si="56"/>
        <v>0</v>
      </c>
      <c r="Y56" s="3">
        <f t="shared" si="59"/>
        <v>59.603519999999989</v>
      </c>
      <c r="Z56" s="3">
        <f t="shared" si="62"/>
        <v>59.603519999999989</v>
      </c>
      <c r="AA56" s="3">
        <f t="shared" si="65"/>
        <v>59.603519999999989</v>
      </c>
      <c r="AB56" s="3">
        <f t="shared" si="69"/>
        <v>59.603519999999989</v>
      </c>
      <c r="AC56" s="3">
        <f t="shared" si="72"/>
        <v>59.603519999999989</v>
      </c>
      <c r="AD56" s="3">
        <f t="shared" si="75"/>
        <v>59.603519999999989</v>
      </c>
      <c r="AE56" s="3">
        <f t="shared" si="78"/>
        <v>59.603519999999989</v>
      </c>
      <c r="AF56" s="3">
        <f t="shared" si="81"/>
        <v>59.603519999999989</v>
      </c>
      <c r="AG56" s="3">
        <f t="shared" si="84"/>
        <v>59.603519999999989</v>
      </c>
      <c r="AH56" s="3">
        <f t="shared" si="87"/>
        <v>59.603519999999989</v>
      </c>
      <c r="AI56" s="3">
        <f t="shared" si="90"/>
        <v>59.603519999999989</v>
      </c>
      <c r="AJ56" s="3">
        <f t="shared" si="93"/>
        <v>59.603519999999989</v>
      </c>
      <c r="AK56" s="3">
        <f t="shared" si="96"/>
        <v>59.603519999999989</v>
      </c>
      <c r="AL56" s="3">
        <f t="shared" si="99"/>
        <v>59.603519999999989</v>
      </c>
      <c r="AM56" s="3">
        <f t="shared" si="102"/>
        <v>59.603519999999989</v>
      </c>
      <c r="AN56" s="3">
        <f t="shared" si="105"/>
        <v>59.603519999999989</v>
      </c>
      <c r="AO56" s="8">
        <f t="shared" si="4"/>
        <v>953.65631999999994</v>
      </c>
      <c r="AP56" s="53">
        <f t="shared" si="5"/>
        <v>6.8342413107208982E-2</v>
      </c>
      <c r="AQ56" s="37">
        <f t="shared" si="6"/>
        <v>0</v>
      </c>
      <c r="AR56" s="13">
        <f t="shared" si="7"/>
        <v>10927.312</v>
      </c>
      <c r="AS56" s="8">
        <f t="shared" si="8"/>
        <v>0</v>
      </c>
      <c r="AT56" s="3">
        <f t="shared" si="9"/>
        <v>0</v>
      </c>
      <c r="AU56" s="3">
        <f t="shared" si="20"/>
        <v>0</v>
      </c>
      <c r="AV56" s="3">
        <f t="shared" si="23"/>
        <v>0</v>
      </c>
      <c r="AW56" s="3">
        <f t="shared" si="27"/>
        <v>0</v>
      </c>
      <c r="AX56" s="3">
        <f t="shared" si="30"/>
        <v>0</v>
      </c>
      <c r="AY56" s="3">
        <f t="shared" si="33"/>
        <v>0</v>
      </c>
      <c r="AZ56" s="3">
        <f t="shared" si="36"/>
        <v>0</v>
      </c>
      <c r="BA56" s="3">
        <f t="shared" si="39"/>
        <v>0</v>
      </c>
      <c r="BB56" s="3">
        <f t="shared" si="42"/>
        <v>0</v>
      </c>
      <c r="BC56" s="3">
        <f t="shared" si="45"/>
        <v>0</v>
      </c>
      <c r="BD56" s="3">
        <f t="shared" si="48"/>
        <v>0</v>
      </c>
      <c r="BE56" s="3">
        <f t="shared" si="51"/>
        <v>0</v>
      </c>
      <c r="BF56" s="3">
        <f t="shared" si="54"/>
        <v>0</v>
      </c>
      <c r="BG56" s="3">
        <f t="shared" si="57"/>
        <v>0</v>
      </c>
      <c r="BH56" s="3">
        <f t="shared" si="60"/>
        <v>186.261</v>
      </c>
      <c r="BI56" s="3">
        <f t="shared" si="63"/>
        <v>186.261</v>
      </c>
      <c r="BJ56" s="3">
        <f t="shared" si="66"/>
        <v>186.261</v>
      </c>
      <c r="BK56" s="3">
        <f t="shared" si="70"/>
        <v>186.261</v>
      </c>
      <c r="BL56" s="3">
        <f t="shared" si="73"/>
        <v>186.261</v>
      </c>
      <c r="BM56" s="3">
        <f t="shared" si="76"/>
        <v>186.261</v>
      </c>
      <c r="BN56" s="3">
        <f t="shared" si="79"/>
        <v>186.261</v>
      </c>
      <c r="BO56" s="3">
        <f t="shared" si="82"/>
        <v>186.261</v>
      </c>
      <c r="BP56" s="3">
        <f t="shared" si="85"/>
        <v>186.261</v>
      </c>
      <c r="BQ56" s="3">
        <f t="shared" si="88"/>
        <v>186.261</v>
      </c>
      <c r="BR56" s="3">
        <f t="shared" si="91"/>
        <v>186.261</v>
      </c>
      <c r="BS56" s="3">
        <f t="shared" si="94"/>
        <v>186.261</v>
      </c>
      <c r="BT56" s="3">
        <f t="shared" si="97"/>
        <v>186.261</v>
      </c>
      <c r="BU56" s="3">
        <f t="shared" si="100"/>
        <v>186.261</v>
      </c>
      <c r="BV56" s="3">
        <f t="shared" si="103"/>
        <v>186.261</v>
      </c>
      <c r="BW56" s="17">
        <f t="shared" si="106"/>
        <v>186.261</v>
      </c>
      <c r="BX56" s="8">
        <f t="shared" si="10"/>
        <v>2980.1759999999999</v>
      </c>
      <c r="BY56" s="65">
        <f t="shared" si="11"/>
        <v>0.21357004096002807</v>
      </c>
      <c r="BZ56" s="37">
        <f t="shared" si="12"/>
        <v>0</v>
      </c>
      <c r="CA56" s="13">
        <f t="shared" si="13"/>
        <v>21854.624</v>
      </c>
      <c r="CB56" s="8">
        <f t="shared" si="14"/>
        <v>0</v>
      </c>
      <c r="CC56" s="3">
        <f t="shared" si="15"/>
        <v>0</v>
      </c>
      <c r="CD56" s="3">
        <f t="shared" si="21"/>
        <v>0</v>
      </c>
      <c r="CE56" s="3">
        <f t="shared" si="24"/>
        <v>0</v>
      </c>
      <c r="CF56" s="3">
        <f t="shared" si="28"/>
        <v>0</v>
      </c>
      <c r="CG56" s="3">
        <f t="shared" si="31"/>
        <v>0</v>
      </c>
      <c r="CH56" s="3">
        <f t="shared" si="34"/>
        <v>0</v>
      </c>
      <c r="CI56" s="3">
        <f t="shared" si="37"/>
        <v>0</v>
      </c>
      <c r="CJ56" s="3">
        <f t="shared" si="40"/>
        <v>0</v>
      </c>
      <c r="CK56" s="3">
        <f t="shared" si="43"/>
        <v>0</v>
      </c>
      <c r="CL56" s="3">
        <f t="shared" si="46"/>
        <v>0</v>
      </c>
      <c r="CM56" s="3">
        <f t="shared" si="49"/>
        <v>0</v>
      </c>
      <c r="CN56" s="3">
        <f t="shared" si="52"/>
        <v>0</v>
      </c>
      <c r="CO56" s="3">
        <f t="shared" si="55"/>
        <v>0</v>
      </c>
      <c r="CP56" s="3">
        <f t="shared" si="58"/>
        <v>0</v>
      </c>
      <c r="CQ56" s="3">
        <f t="shared" si="61"/>
        <v>372.52199999999999</v>
      </c>
      <c r="CR56" s="3">
        <f t="shared" si="64"/>
        <v>372.52199999999999</v>
      </c>
      <c r="CS56" s="3">
        <f t="shared" si="67"/>
        <v>372.52199999999999</v>
      </c>
      <c r="CT56" s="3">
        <f t="shared" si="71"/>
        <v>372.52199999999999</v>
      </c>
      <c r="CU56" s="3">
        <f t="shared" si="74"/>
        <v>372.52199999999999</v>
      </c>
      <c r="CV56" s="3">
        <f t="shared" si="77"/>
        <v>372.52199999999999</v>
      </c>
      <c r="CW56" s="3">
        <f t="shared" si="80"/>
        <v>372.52199999999999</v>
      </c>
      <c r="CX56" s="3">
        <f t="shared" si="83"/>
        <v>372.52199999999999</v>
      </c>
      <c r="CY56" s="3">
        <f t="shared" si="86"/>
        <v>372.52199999999999</v>
      </c>
      <c r="CZ56" s="3">
        <f t="shared" si="89"/>
        <v>372.52199999999999</v>
      </c>
      <c r="DA56" s="3">
        <f t="shared" si="92"/>
        <v>372.52199999999999</v>
      </c>
      <c r="DB56" s="3">
        <f t="shared" si="95"/>
        <v>372.52199999999999</v>
      </c>
      <c r="DC56" s="3">
        <f t="shared" si="98"/>
        <v>372.52199999999999</v>
      </c>
      <c r="DD56" s="3">
        <f t="shared" si="101"/>
        <v>372.52199999999999</v>
      </c>
      <c r="DE56" s="3">
        <f t="shared" si="104"/>
        <v>372.52199999999999</v>
      </c>
      <c r="DF56" s="17">
        <f t="shared" si="107"/>
        <v>372.52199999999999</v>
      </c>
      <c r="DG56" s="8">
        <f t="shared" si="16"/>
        <v>5960.3519999999999</v>
      </c>
      <c r="DH56" s="65">
        <f t="shared" si="17"/>
        <v>0.41194867746847896</v>
      </c>
    </row>
    <row r="57" spans="4:112" x14ac:dyDescent="0.4">
      <c r="D57" s="9">
        <f t="shared" ref="D57:E62" si="108">D56+1</f>
        <v>35</v>
      </c>
      <c r="E57" s="9">
        <f t="shared" si="108"/>
        <v>2051</v>
      </c>
      <c r="F57" s="8">
        <v>50285.004000000001</v>
      </c>
      <c r="G57" s="44">
        <v>0</v>
      </c>
      <c r="H57" s="37">
        <f t="shared" si="1"/>
        <v>0</v>
      </c>
      <c r="I57" s="13">
        <f t="shared" si="2"/>
        <v>3278.1935999999996</v>
      </c>
      <c r="J57" s="8">
        <f t="shared" si="25"/>
        <v>0</v>
      </c>
      <c r="K57" s="3">
        <f t="shared" si="3"/>
        <v>0</v>
      </c>
      <c r="L57" s="3">
        <f t="shared" si="19"/>
        <v>0</v>
      </c>
      <c r="M57" s="3">
        <f t="shared" si="22"/>
        <v>0</v>
      </c>
      <c r="N57" s="3">
        <f t="shared" si="26"/>
        <v>0</v>
      </c>
      <c r="O57" s="3">
        <f t="shared" si="29"/>
        <v>0</v>
      </c>
      <c r="P57" s="3">
        <f t="shared" si="32"/>
        <v>0</v>
      </c>
      <c r="Q57" s="3">
        <f t="shared" si="35"/>
        <v>0</v>
      </c>
      <c r="R57" s="3">
        <f t="shared" si="38"/>
        <v>0</v>
      </c>
      <c r="S57" s="3">
        <f t="shared" si="41"/>
        <v>0</v>
      </c>
      <c r="T57" s="3">
        <f t="shared" si="44"/>
        <v>0</v>
      </c>
      <c r="U57" s="3">
        <f t="shared" si="47"/>
        <v>0</v>
      </c>
      <c r="V57" s="3">
        <f t="shared" si="50"/>
        <v>0</v>
      </c>
      <c r="W57" s="3">
        <f t="shared" si="53"/>
        <v>0</v>
      </c>
      <c r="X57" s="3">
        <f t="shared" si="56"/>
        <v>0</v>
      </c>
      <c r="Y57" s="3">
        <f t="shared" si="59"/>
        <v>0</v>
      </c>
      <c r="Z57" s="3">
        <f t="shared" si="62"/>
        <v>59.603519999999989</v>
      </c>
      <c r="AA57" s="3">
        <f t="shared" si="65"/>
        <v>59.603519999999989</v>
      </c>
      <c r="AB57" s="3">
        <f t="shared" si="69"/>
        <v>59.603519999999989</v>
      </c>
      <c r="AC57" s="3">
        <f t="shared" si="72"/>
        <v>59.603519999999989</v>
      </c>
      <c r="AD57" s="3">
        <f t="shared" si="75"/>
        <v>59.603519999999989</v>
      </c>
      <c r="AE57" s="3">
        <f t="shared" si="78"/>
        <v>59.603519999999989</v>
      </c>
      <c r="AF57" s="3">
        <f t="shared" si="81"/>
        <v>59.603519999999989</v>
      </c>
      <c r="AG57" s="3">
        <f t="shared" si="84"/>
        <v>59.603519999999989</v>
      </c>
      <c r="AH57" s="3">
        <f t="shared" si="87"/>
        <v>59.603519999999989</v>
      </c>
      <c r="AI57" s="3">
        <f t="shared" si="90"/>
        <v>59.603519999999989</v>
      </c>
      <c r="AJ57" s="3">
        <f t="shared" si="93"/>
        <v>59.603519999999989</v>
      </c>
      <c r="AK57" s="3">
        <f t="shared" si="96"/>
        <v>59.603519999999989</v>
      </c>
      <c r="AL57" s="3">
        <f t="shared" si="99"/>
        <v>59.603519999999989</v>
      </c>
      <c r="AM57" s="3">
        <f t="shared" si="102"/>
        <v>59.603519999999989</v>
      </c>
      <c r="AN57" s="3">
        <f t="shared" si="105"/>
        <v>59.603519999999989</v>
      </c>
      <c r="AO57" s="8">
        <f t="shared" si="4"/>
        <v>894.05279999999993</v>
      </c>
      <c r="AP57" s="53">
        <f t="shared" si="5"/>
        <v>6.5192270840825614E-2</v>
      </c>
      <c r="AQ57" s="37">
        <f t="shared" si="6"/>
        <v>0</v>
      </c>
      <c r="AR57" s="13">
        <f t="shared" si="7"/>
        <v>10244.355</v>
      </c>
      <c r="AS57" s="8">
        <f t="shared" si="8"/>
        <v>0</v>
      </c>
      <c r="AT57" s="3">
        <f t="shared" si="9"/>
        <v>0</v>
      </c>
      <c r="AU57" s="3">
        <f t="shared" si="20"/>
        <v>0</v>
      </c>
      <c r="AV57" s="3">
        <f t="shared" si="23"/>
        <v>0</v>
      </c>
      <c r="AW57" s="3">
        <f t="shared" si="27"/>
        <v>0</v>
      </c>
      <c r="AX57" s="3">
        <f t="shared" si="30"/>
        <v>0</v>
      </c>
      <c r="AY57" s="3">
        <f t="shared" si="33"/>
        <v>0</v>
      </c>
      <c r="AZ57" s="3">
        <f t="shared" si="36"/>
        <v>0</v>
      </c>
      <c r="BA57" s="3">
        <f t="shared" si="39"/>
        <v>0</v>
      </c>
      <c r="BB57" s="3">
        <f t="shared" si="42"/>
        <v>0</v>
      </c>
      <c r="BC57" s="3">
        <f t="shared" si="45"/>
        <v>0</v>
      </c>
      <c r="BD57" s="3">
        <f t="shared" si="48"/>
        <v>0</v>
      </c>
      <c r="BE57" s="3">
        <f t="shared" si="51"/>
        <v>0</v>
      </c>
      <c r="BF57" s="3">
        <f t="shared" si="54"/>
        <v>0</v>
      </c>
      <c r="BG57" s="3">
        <f t="shared" si="57"/>
        <v>0</v>
      </c>
      <c r="BH57" s="3">
        <f t="shared" si="60"/>
        <v>0</v>
      </c>
      <c r="BI57" s="3">
        <f t="shared" si="63"/>
        <v>186.261</v>
      </c>
      <c r="BJ57" s="3">
        <f t="shared" si="66"/>
        <v>186.261</v>
      </c>
      <c r="BK57" s="3">
        <f t="shared" si="70"/>
        <v>186.261</v>
      </c>
      <c r="BL57" s="3">
        <f t="shared" si="73"/>
        <v>186.261</v>
      </c>
      <c r="BM57" s="3">
        <f t="shared" si="76"/>
        <v>186.261</v>
      </c>
      <c r="BN57" s="3">
        <f t="shared" si="79"/>
        <v>186.261</v>
      </c>
      <c r="BO57" s="3">
        <f t="shared" si="82"/>
        <v>186.261</v>
      </c>
      <c r="BP57" s="3">
        <f t="shared" si="85"/>
        <v>186.261</v>
      </c>
      <c r="BQ57" s="3">
        <f t="shared" si="88"/>
        <v>186.261</v>
      </c>
      <c r="BR57" s="3">
        <f t="shared" si="91"/>
        <v>186.261</v>
      </c>
      <c r="BS57" s="3">
        <f t="shared" si="94"/>
        <v>186.261</v>
      </c>
      <c r="BT57" s="3">
        <f t="shared" si="97"/>
        <v>186.261</v>
      </c>
      <c r="BU57" s="3">
        <f t="shared" si="100"/>
        <v>186.261</v>
      </c>
      <c r="BV57" s="3">
        <f t="shared" si="103"/>
        <v>186.261</v>
      </c>
      <c r="BW57" s="17">
        <f t="shared" si="106"/>
        <v>186.261</v>
      </c>
      <c r="BX57" s="8">
        <f t="shared" si="10"/>
        <v>2793.915</v>
      </c>
      <c r="BY57" s="65">
        <f t="shared" si="11"/>
        <v>0.20372584637758007</v>
      </c>
      <c r="BZ57" s="37">
        <f t="shared" si="12"/>
        <v>0</v>
      </c>
      <c r="CA57" s="13">
        <f t="shared" si="13"/>
        <v>20488.71</v>
      </c>
      <c r="CB57" s="8">
        <f t="shared" si="14"/>
        <v>0</v>
      </c>
      <c r="CC57" s="3">
        <f t="shared" si="15"/>
        <v>0</v>
      </c>
      <c r="CD57" s="3">
        <f t="shared" si="21"/>
        <v>0</v>
      </c>
      <c r="CE57" s="3">
        <f t="shared" si="24"/>
        <v>0</v>
      </c>
      <c r="CF57" s="3">
        <f t="shared" si="28"/>
        <v>0</v>
      </c>
      <c r="CG57" s="3">
        <f t="shared" si="31"/>
        <v>0</v>
      </c>
      <c r="CH57" s="3">
        <f t="shared" si="34"/>
        <v>0</v>
      </c>
      <c r="CI57" s="3">
        <f t="shared" si="37"/>
        <v>0</v>
      </c>
      <c r="CJ57" s="3">
        <f t="shared" si="40"/>
        <v>0</v>
      </c>
      <c r="CK57" s="3">
        <f t="shared" si="43"/>
        <v>0</v>
      </c>
      <c r="CL57" s="3">
        <f t="shared" si="46"/>
        <v>0</v>
      </c>
      <c r="CM57" s="3">
        <f t="shared" si="49"/>
        <v>0</v>
      </c>
      <c r="CN57" s="3">
        <f t="shared" si="52"/>
        <v>0</v>
      </c>
      <c r="CO57" s="3">
        <f t="shared" si="55"/>
        <v>0</v>
      </c>
      <c r="CP57" s="3">
        <f t="shared" si="58"/>
        <v>0</v>
      </c>
      <c r="CQ57" s="3">
        <f t="shared" si="61"/>
        <v>0</v>
      </c>
      <c r="CR57" s="3">
        <f t="shared" si="64"/>
        <v>372.52199999999999</v>
      </c>
      <c r="CS57" s="3">
        <f t="shared" si="67"/>
        <v>372.52199999999999</v>
      </c>
      <c r="CT57" s="3">
        <f t="shared" si="71"/>
        <v>372.52199999999999</v>
      </c>
      <c r="CU57" s="3">
        <f t="shared" si="74"/>
        <v>372.52199999999999</v>
      </c>
      <c r="CV57" s="3">
        <f t="shared" si="77"/>
        <v>372.52199999999999</v>
      </c>
      <c r="CW57" s="3">
        <f t="shared" si="80"/>
        <v>372.52199999999999</v>
      </c>
      <c r="CX57" s="3">
        <f t="shared" si="83"/>
        <v>372.52199999999999</v>
      </c>
      <c r="CY57" s="3">
        <f t="shared" si="86"/>
        <v>372.52199999999999</v>
      </c>
      <c r="CZ57" s="3">
        <f t="shared" si="89"/>
        <v>372.52199999999999</v>
      </c>
      <c r="DA57" s="3">
        <f t="shared" si="92"/>
        <v>372.52199999999999</v>
      </c>
      <c r="DB57" s="3">
        <f t="shared" si="95"/>
        <v>372.52199999999999</v>
      </c>
      <c r="DC57" s="3">
        <f t="shared" si="98"/>
        <v>372.52199999999999</v>
      </c>
      <c r="DD57" s="3">
        <f t="shared" si="101"/>
        <v>372.52199999999999</v>
      </c>
      <c r="DE57" s="3">
        <f t="shared" si="104"/>
        <v>372.52199999999999</v>
      </c>
      <c r="DF57" s="17">
        <f t="shared" si="107"/>
        <v>372.52199999999999</v>
      </c>
      <c r="DG57" s="8">
        <f t="shared" si="16"/>
        <v>5587.83</v>
      </c>
      <c r="DH57" s="65">
        <f t="shared" si="17"/>
        <v>0.38620188512669901</v>
      </c>
    </row>
    <row r="58" spans="4:112" x14ac:dyDescent="0.4">
      <c r="D58" s="9">
        <f>D57+1</f>
        <v>36</v>
      </c>
      <c r="E58" s="9">
        <f t="shared" si="108"/>
        <v>2052</v>
      </c>
      <c r="F58" s="8">
        <v>49405.004000000001</v>
      </c>
      <c r="G58" s="44">
        <v>0</v>
      </c>
      <c r="H58" s="37">
        <f t="shared" si="1"/>
        <v>0</v>
      </c>
      <c r="I58" s="13">
        <f t="shared" si="2"/>
        <v>3059.6473599999995</v>
      </c>
      <c r="J58" s="8">
        <f t="shared" si="25"/>
        <v>0</v>
      </c>
      <c r="K58" s="3">
        <f t="shared" si="3"/>
        <v>0</v>
      </c>
      <c r="L58" s="3">
        <f t="shared" si="19"/>
        <v>0</v>
      </c>
      <c r="M58" s="3">
        <f t="shared" si="22"/>
        <v>0</v>
      </c>
      <c r="N58" s="3">
        <f t="shared" si="26"/>
        <v>0</v>
      </c>
      <c r="O58" s="3">
        <f t="shared" si="29"/>
        <v>0</v>
      </c>
      <c r="P58" s="3">
        <f t="shared" si="32"/>
        <v>0</v>
      </c>
      <c r="Q58" s="3">
        <f t="shared" si="35"/>
        <v>0</v>
      </c>
      <c r="R58" s="3">
        <f t="shared" si="38"/>
        <v>0</v>
      </c>
      <c r="S58" s="3">
        <f t="shared" si="41"/>
        <v>0</v>
      </c>
      <c r="T58" s="3">
        <f t="shared" si="44"/>
        <v>0</v>
      </c>
      <c r="U58" s="3">
        <f t="shared" si="47"/>
        <v>0</v>
      </c>
      <c r="V58" s="3">
        <f t="shared" si="50"/>
        <v>0</v>
      </c>
      <c r="W58" s="3">
        <f t="shared" si="53"/>
        <v>0</v>
      </c>
      <c r="X58" s="3">
        <f t="shared" si="56"/>
        <v>0</v>
      </c>
      <c r="Y58" s="3">
        <f t="shared" si="59"/>
        <v>0</v>
      </c>
      <c r="Z58" s="3">
        <f t="shared" si="62"/>
        <v>0</v>
      </c>
      <c r="AA58" s="3">
        <f t="shared" si="65"/>
        <v>59.603519999999989</v>
      </c>
      <c r="AB58" s="3">
        <f t="shared" si="69"/>
        <v>59.603519999999989</v>
      </c>
      <c r="AC58" s="3">
        <f t="shared" si="72"/>
        <v>59.603519999999989</v>
      </c>
      <c r="AD58" s="3">
        <f t="shared" si="75"/>
        <v>59.603519999999989</v>
      </c>
      <c r="AE58" s="3">
        <f t="shared" si="78"/>
        <v>59.603519999999989</v>
      </c>
      <c r="AF58" s="3">
        <f t="shared" si="81"/>
        <v>59.603519999999989</v>
      </c>
      <c r="AG58" s="3">
        <f t="shared" si="84"/>
        <v>59.603519999999989</v>
      </c>
      <c r="AH58" s="3">
        <f t="shared" si="87"/>
        <v>59.603519999999989</v>
      </c>
      <c r="AI58" s="3">
        <f t="shared" si="90"/>
        <v>59.603519999999989</v>
      </c>
      <c r="AJ58" s="3">
        <f t="shared" si="93"/>
        <v>59.603519999999989</v>
      </c>
      <c r="AK58" s="3">
        <f t="shared" si="96"/>
        <v>59.603519999999989</v>
      </c>
      <c r="AL58" s="3">
        <f t="shared" si="99"/>
        <v>59.603519999999989</v>
      </c>
      <c r="AM58" s="3">
        <f t="shared" si="102"/>
        <v>59.603519999999989</v>
      </c>
      <c r="AN58" s="3">
        <f t="shared" si="105"/>
        <v>59.603519999999989</v>
      </c>
      <c r="AO58" s="8">
        <f t="shared" si="4"/>
        <v>834.44927999999993</v>
      </c>
      <c r="AP58" s="53">
        <f t="shared" si="5"/>
        <v>6.1929908152623558E-2</v>
      </c>
      <c r="AQ58" s="37">
        <f t="shared" si="6"/>
        <v>0</v>
      </c>
      <c r="AR58" s="13">
        <f t="shared" si="7"/>
        <v>9561.3979999999992</v>
      </c>
      <c r="AS58" s="8">
        <f t="shared" si="8"/>
        <v>0</v>
      </c>
      <c r="AT58" s="3">
        <f t="shared" si="9"/>
        <v>0</v>
      </c>
      <c r="AU58" s="3">
        <f t="shared" si="20"/>
        <v>0</v>
      </c>
      <c r="AV58" s="3">
        <f t="shared" si="23"/>
        <v>0</v>
      </c>
      <c r="AW58" s="3">
        <f t="shared" si="27"/>
        <v>0</v>
      </c>
      <c r="AX58" s="3">
        <f t="shared" si="30"/>
        <v>0</v>
      </c>
      <c r="AY58" s="3">
        <f t="shared" si="33"/>
        <v>0</v>
      </c>
      <c r="AZ58" s="3">
        <f t="shared" si="36"/>
        <v>0</v>
      </c>
      <c r="BA58" s="3">
        <f t="shared" si="39"/>
        <v>0</v>
      </c>
      <c r="BB58" s="3">
        <f t="shared" si="42"/>
        <v>0</v>
      </c>
      <c r="BC58" s="3">
        <f t="shared" si="45"/>
        <v>0</v>
      </c>
      <c r="BD58" s="3">
        <f t="shared" si="48"/>
        <v>0</v>
      </c>
      <c r="BE58" s="3">
        <f t="shared" si="51"/>
        <v>0</v>
      </c>
      <c r="BF58" s="3">
        <f t="shared" si="54"/>
        <v>0</v>
      </c>
      <c r="BG58" s="3">
        <f t="shared" si="57"/>
        <v>0</v>
      </c>
      <c r="BH58" s="3">
        <f t="shared" si="60"/>
        <v>0</v>
      </c>
      <c r="BI58" s="3">
        <f t="shared" si="63"/>
        <v>0</v>
      </c>
      <c r="BJ58" s="3">
        <f t="shared" si="66"/>
        <v>186.261</v>
      </c>
      <c r="BK58" s="3">
        <f t="shared" si="70"/>
        <v>186.261</v>
      </c>
      <c r="BL58" s="3">
        <f t="shared" si="73"/>
        <v>186.261</v>
      </c>
      <c r="BM58" s="3">
        <f t="shared" si="76"/>
        <v>186.261</v>
      </c>
      <c r="BN58" s="3">
        <f t="shared" si="79"/>
        <v>186.261</v>
      </c>
      <c r="BO58" s="3">
        <f t="shared" si="82"/>
        <v>186.261</v>
      </c>
      <c r="BP58" s="3">
        <f t="shared" si="85"/>
        <v>186.261</v>
      </c>
      <c r="BQ58" s="3">
        <f t="shared" si="88"/>
        <v>186.261</v>
      </c>
      <c r="BR58" s="3">
        <f t="shared" si="91"/>
        <v>186.261</v>
      </c>
      <c r="BS58" s="3">
        <f t="shared" si="94"/>
        <v>186.261</v>
      </c>
      <c r="BT58" s="3">
        <f t="shared" si="97"/>
        <v>186.261</v>
      </c>
      <c r="BU58" s="3">
        <f t="shared" si="100"/>
        <v>186.261</v>
      </c>
      <c r="BV58" s="3">
        <f t="shared" si="103"/>
        <v>186.261</v>
      </c>
      <c r="BW58" s="17">
        <f t="shared" si="106"/>
        <v>186.261</v>
      </c>
      <c r="BX58" s="8">
        <f t="shared" si="10"/>
        <v>2607.654</v>
      </c>
      <c r="BY58" s="65">
        <f t="shared" si="11"/>
        <v>0.19353096297694863</v>
      </c>
      <c r="BZ58" s="37">
        <f t="shared" si="12"/>
        <v>0</v>
      </c>
      <c r="CA58" s="13">
        <f t="shared" si="13"/>
        <v>19122.795999999998</v>
      </c>
      <c r="CB58" s="8">
        <f t="shared" si="14"/>
        <v>0</v>
      </c>
      <c r="CC58" s="3">
        <f t="shared" si="15"/>
        <v>0</v>
      </c>
      <c r="CD58" s="3">
        <f t="shared" si="21"/>
        <v>0</v>
      </c>
      <c r="CE58" s="3">
        <f t="shared" si="24"/>
        <v>0</v>
      </c>
      <c r="CF58" s="3">
        <f t="shared" si="28"/>
        <v>0</v>
      </c>
      <c r="CG58" s="3">
        <f t="shared" si="31"/>
        <v>0</v>
      </c>
      <c r="CH58" s="3">
        <f t="shared" si="34"/>
        <v>0</v>
      </c>
      <c r="CI58" s="3">
        <f t="shared" si="37"/>
        <v>0</v>
      </c>
      <c r="CJ58" s="3">
        <f t="shared" si="40"/>
        <v>0</v>
      </c>
      <c r="CK58" s="3">
        <f t="shared" si="43"/>
        <v>0</v>
      </c>
      <c r="CL58" s="3">
        <f t="shared" si="46"/>
        <v>0</v>
      </c>
      <c r="CM58" s="3">
        <f t="shared" si="49"/>
        <v>0</v>
      </c>
      <c r="CN58" s="3">
        <f t="shared" si="52"/>
        <v>0</v>
      </c>
      <c r="CO58" s="3">
        <f t="shared" si="55"/>
        <v>0</v>
      </c>
      <c r="CP58" s="3">
        <f t="shared" si="58"/>
        <v>0</v>
      </c>
      <c r="CQ58" s="3">
        <f t="shared" si="61"/>
        <v>0</v>
      </c>
      <c r="CR58" s="3">
        <f t="shared" si="64"/>
        <v>0</v>
      </c>
      <c r="CS58" s="3">
        <f t="shared" si="67"/>
        <v>372.52199999999999</v>
      </c>
      <c r="CT58" s="3">
        <f t="shared" si="71"/>
        <v>372.52199999999999</v>
      </c>
      <c r="CU58" s="3">
        <f t="shared" si="74"/>
        <v>372.52199999999999</v>
      </c>
      <c r="CV58" s="3">
        <f t="shared" si="77"/>
        <v>372.52199999999999</v>
      </c>
      <c r="CW58" s="3">
        <f t="shared" si="80"/>
        <v>372.52199999999999</v>
      </c>
      <c r="CX58" s="3">
        <f t="shared" si="83"/>
        <v>372.52199999999999</v>
      </c>
      <c r="CY58" s="3">
        <f t="shared" si="86"/>
        <v>372.52199999999999</v>
      </c>
      <c r="CZ58" s="3">
        <f t="shared" si="89"/>
        <v>372.52199999999999</v>
      </c>
      <c r="DA58" s="3">
        <f t="shared" si="92"/>
        <v>372.52199999999999</v>
      </c>
      <c r="DB58" s="3">
        <f t="shared" si="95"/>
        <v>372.52199999999999</v>
      </c>
      <c r="DC58" s="3">
        <f t="shared" si="98"/>
        <v>372.52199999999999</v>
      </c>
      <c r="DD58" s="3">
        <f t="shared" si="101"/>
        <v>372.52199999999999</v>
      </c>
      <c r="DE58" s="3">
        <f t="shared" si="104"/>
        <v>372.52199999999999</v>
      </c>
      <c r="DF58" s="17">
        <f t="shared" si="107"/>
        <v>372.52199999999999</v>
      </c>
      <c r="DG58" s="8">
        <f t="shared" si="16"/>
        <v>5215.308</v>
      </c>
      <c r="DH58" s="65">
        <f t="shared" si="17"/>
        <v>0.36045509278491911</v>
      </c>
    </row>
    <row r="59" spans="4:112" x14ac:dyDescent="0.4">
      <c r="D59" s="9">
        <f t="shared" si="108"/>
        <v>37</v>
      </c>
      <c r="E59" s="9">
        <f t="shared" si="108"/>
        <v>2053</v>
      </c>
      <c r="F59" s="8">
        <v>48525.004000000001</v>
      </c>
      <c r="G59" s="44">
        <v>0</v>
      </c>
      <c r="H59" s="37">
        <f t="shared" si="1"/>
        <v>0</v>
      </c>
      <c r="I59" s="13">
        <f t="shared" si="2"/>
        <v>2841.1011199999998</v>
      </c>
      <c r="J59" s="8">
        <f t="shared" si="25"/>
        <v>0</v>
      </c>
      <c r="K59" s="3">
        <f t="shared" si="3"/>
        <v>0</v>
      </c>
      <c r="L59" s="3">
        <f t="shared" si="19"/>
        <v>0</v>
      </c>
      <c r="M59" s="3">
        <f t="shared" si="22"/>
        <v>0</v>
      </c>
      <c r="N59" s="3">
        <f t="shared" si="26"/>
        <v>0</v>
      </c>
      <c r="O59" s="3">
        <f t="shared" si="29"/>
        <v>0</v>
      </c>
      <c r="P59" s="3">
        <f t="shared" si="32"/>
        <v>0</v>
      </c>
      <c r="Q59" s="3">
        <f t="shared" si="35"/>
        <v>0</v>
      </c>
      <c r="R59" s="3">
        <f t="shared" si="38"/>
        <v>0</v>
      </c>
      <c r="S59" s="3">
        <f t="shared" si="41"/>
        <v>0</v>
      </c>
      <c r="T59" s="3">
        <f t="shared" si="44"/>
        <v>0</v>
      </c>
      <c r="U59" s="3">
        <f t="shared" si="47"/>
        <v>0</v>
      </c>
      <c r="V59" s="3">
        <f t="shared" si="50"/>
        <v>0</v>
      </c>
      <c r="W59" s="3">
        <f t="shared" si="53"/>
        <v>0</v>
      </c>
      <c r="X59" s="3">
        <f t="shared" si="56"/>
        <v>0</v>
      </c>
      <c r="Y59" s="3">
        <f t="shared" si="59"/>
        <v>0</v>
      </c>
      <c r="Z59" s="3">
        <f t="shared" si="62"/>
        <v>0</v>
      </c>
      <c r="AA59" s="3">
        <f t="shared" si="65"/>
        <v>0</v>
      </c>
      <c r="AB59" s="3">
        <f t="shared" si="69"/>
        <v>59.603519999999989</v>
      </c>
      <c r="AC59" s="3">
        <f t="shared" si="72"/>
        <v>59.603519999999989</v>
      </c>
      <c r="AD59" s="3">
        <f t="shared" si="75"/>
        <v>59.603519999999989</v>
      </c>
      <c r="AE59" s="3">
        <f t="shared" si="78"/>
        <v>59.603519999999989</v>
      </c>
      <c r="AF59" s="3">
        <f t="shared" si="81"/>
        <v>59.603519999999989</v>
      </c>
      <c r="AG59" s="3">
        <f t="shared" si="84"/>
        <v>59.603519999999989</v>
      </c>
      <c r="AH59" s="3">
        <f t="shared" si="87"/>
        <v>59.603519999999989</v>
      </c>
      <c r="AI59" s="3">
        <f t="shared" si="90"/>
        <v>59.603519999999989</v>
      </c>
      <c r="AJ59" s="3">
        <f t="shared" si="93"/>
        <v>59.603519999999989</v>
      </c>
      <c r="AK59" s="3">
        <f t="shared" si="96"/>
        <v>59.603519999999989</v>
      </c>
      <c r="AL59" s="3">
        <f t="shared" si="99"/>
        <v>59.603519999999989</v>
      </c>
      <c r="AM59" s="3">
        <f t="shared" si="102"/>
        <v>59.603519999999989</v>
      </c>
      <c r="AN59" s="3">
        <f t="shared" si="105"/>
        <v>59.603519999999989</v>
      </c>
      <c r="AO59" s="8">
        <f t="shared" si="4"/>
        <v>774.84575999999993</v>
      </c>
      <c r="AP59" s="53">
        <f t="shared" si="5"/>
        <v>5.8549219697127688E-2</v>
      </c>
      <c r="AQ59" s="37">
        <f t="shared" si="6"/>
        <v>0</v>
      </c>
      <c r="AR59" s="13">
        <f t="shared" si="7"/>
        <v>8878.4409999999989</v>
      </c>
      <c r="AS59" s="8">
        <f t="shared" si="8"/>
        <v>0</v>
      </c>
      <c r="AT59" s="3">
        <f t="shared" si="9"/>
        <v>0</v>
      </c>
      <c r="AU59" s="3">
        <f t="shared" si="20"/>
        <v>0</v>
      </c>
      <c r="AV59" s="3">
        <f t="shared" si="23"/>
        <v>0</v>
      </c>
      <c r="AW59" s="3">
        <f t="shared" si="27"/>
        <v>0</v>
      </c>
      <c r="AX59" s="3">
        <f t="shared" si="30"/>
        <v>0</v>
      </c>
      <c r="AY59" s="3">
        <f t="shared" si="33"/>
        <v>0</v>
      </c>
      <c r="AZ59" s="3">
        <f t="shared" si="36"/>
        <v>0</v>
      </c>
      <c r="BA59" s="3">
        <f t="shared" si="39"/>
        <v>0</v>
      </c>
      <c r="BB59" s="3">
        <f t="shared" si="42"/>
        <v>0</v>
      </c>
      <c r="BC59" s="3">
        <f t="shared" si="45"/>
        <v>0</v>
      </c>
      <c r="BD59" s="3">
        <f t="shared" si="48"/>
        <v>0</v>
      </c>
      <c r="BE59" s="3">
        <f t="shared" si="51"/>
        <v>0</v>
      </c>
      <c r="BF59" s="3">
        <f t="shared" si="54"/>
        <v>0</v>
      </c>
      <c r="BG59" s="3">
        <f t="shared" si="57"/>
        <v>0</v>
      </c>
      <c r="BH59" s="3">
        <f t="shared" si="60"/>
        <v>0</v>
      </c>
      <c r="BI59" s="3">
        <f t="shared" si="63"/>
        <v>0</v>
      </c>
      <c r="BJ59" s="3">
        <f t="shared" si="66"/>
        <v>0</v>
      </c>
      <c r="BK59" s="3">
        <f t="shared" si="70"/>
        <v>186.261</v>
      </c>
      <c r="BL59" s="3">
        <f t="shared" si="73"/>
        <v>186.261</v>
      </c>
      <c r="BM59" s="3">
        <f t="shared" si="76"/>
        <v>186.261</v>
      </c>
      <c r="BN59" s="3">
        <f t="shared" si="79"/>
        <v>186.261</v>
      </c>
      <c r="BO59" s="3">
        <f t="shared" si="82"/>
        <v>186.261</v>
      </c>
      <c r="BP59" s="3">
        <f t="shared" si="85"/>
        <v>186.261</v>
      </c>
      <c r="BQ59" s="3">
        <f t="shared" si="88"/>
        <v>186.261</v>
      </c>
      <c r="BR59" s="3">
        <f t="shared" si="91"/>
        <v>186.261</v>
      </c>
      <c r="BS59" s="3">
        <f t="shared" si="94"/>
        <v>186.261</v>
      </c>
      <c r="BT59" s="3">
        <f t="shared" si="97"/>
        <v>186.261</v>
      </c>
      <c r="BU59" s="3">
        <f t="shared" si="100"/>
        <v>186.261</v>
      </c>
      <c r="BV59" s="3">
        <f t="shared" si="103"/>
        <v>186.261</v>
      </c>
      <c r="BW59" s="17">
        <f t="shared" si="106"/>
        <v>186.261</v>
      </c>
      <c r="BX59" s="8">
        <f t="shared" si="10"/>
        <v>2421.393</v>
      </c>
      <c r="BY59" s="65">
        <f t="shared" si="11"/>
        <v>0.182966311553524</v>
      </c>
      <c r="BZ59" s="37">
        <f t="shared" si="12"/>
        <v>0</v>
      </c>
      <c r="CA59" s="13">
        <f t="shared" si="13"/>
        <v>17756.881999999998</v>
      </c>
      <c r="CB59" s="8">
        <f t="shared" si="14"/>
        <v>0</v>
      </c>
      <c r="CC59" s="3">
        <f t="shared" si="15"/>
        <v>0</v>
      </c>
      <c r="CD59" s="3">
        <f t="shared" si="21"/>
        <v>0</v>
      </c>
      <c r="CE59" s="3">
        <f t="shared" si="24"/>
        <v>0</v>
      </c>
      <c r="CF59" s="3">
        <f t="shared" si="28"/>
        <v>0</v>
      </c>
      <c r="CG59" s="3">
        <f t="shared" si="31"/>
        <v>0</v>
      </c>
      <c r="CH59" s="3">
        <f t="shared" si="34"/>
        <v>0</v>
      </c>
      <c r="CI59" s="3">
        <f t="shared" si="37"/>
        <v>0</v>
      </c>
      <c r="CJ59" s="3">
        <f t="shared" si="40"/>
        <v>0</v>
      </c>
      <c r="CK59" s="3">
        <f t="shared" si="43"/>
        <v>0</v>
      </c>
      <c r="CL59" s="3">
        <f t="shared" si="46"/>
        <v>0</v>
      </c>
      <c r="CM59" s="3">
        <f t="shared" si="49"/>
        <v>0</v>
      </c>
      <c r="CN59" s="3">
        <f t="shared" si="52"/>
        <v>0</v>
      </c>
      <c r="CO59" s="3">
        <f t="shared" si="55"/>
        <v>0</v>
      </c>
      <c r="CP59" s="3">
        <f t="shared" si="58"/>
        <v>0</v>
      </c>
      <c r="CQ59" s="3">
        <f t="shared" si="61"/>
        <v>0</v>
      </c>
      <c r="CR59" s="3">
        <f t="shared" si="64"/>
        <v>0</v>
      </c>
      <c r="CS59" s="3">
        <f t="shared" si="67"/>
        <v>0</v>
      </c>
      <c r="CT59" s="3">
        <f t="shared" si="71"/>
        <v>372.52199999999999</v>
      </c>
      <c r="CU59" s="3">
        <f t="shared" si="74"/>
        <v>372.52199999999999</v>
      </c>
      <c r="CV59" s="3">
        <f t="shared" si="77"/>
        <v>372.52199999999999</v>
      </c>
      <c r="CW59" s="3">
        <f t="shared" si="80"/>
        <v>372.52199999999999</v>
      </c>
      <c r="CX59" s="3">
        <f t="shared" si="83"/>
        <v>372.52199999999999</v>
      </c>
      <c r="CY59" s="3">
        <f t="shared" si="86"/>
        <v>372.52199999999999</v>
      </c>
      <c r="CZ59" s="3">
        <f t="shared" si="89"/>
        <v>372.52199999999999</v>
      </c>
      <c r="DA59" s="3">
        <f t="shared" si="92"/>
        <v>372.52199999999999</v>
      </c>
      <c r="DB59" s="3">
        <f t="shared" si="95"/>
        <v>372.52199999999999</v>
      </c>
      <c r="DC59" s="3">
        <f t="shared" si="98"/>
        <v>372.52199999999999</v>
      </c>
      <c r="DD59" s="3">
        <f t="shared" si="101"/>
        <v>372.52199999999999</v>
      </c>
      <c r="DE59" s="3">
        <f t="shared" si="104"/>
        <v>372.52199999999999</v>
      </c>
      <c r="DF59" s="17">
        <f t="shared" si="107"/>
        <v>372.52199999999999</v>
      </c>
      <c r="DG59" s="8">
        <f t="shared" si="16"/>
        <v>4842.7860000000001</v>
      </c>
      <c r="DH59" s="65">
        <f t="shared" si="17"/>
        <v>0.33470830044313915</v>
      </c>
    </row>
    <row r="60" spans="4:112" x14ac:dyDescent="0.4">
      <c r="D60" s="9">
        <f t="shared" si="108"/>
        <v>38</v>
      </c>
      <c r="E60" s="9">
        <f t="shared" si="108"/>
        <v>2054</v>
      </c>
      <c r="F60" s="8">
        <v>47645.004000000001</v>
      </c>
      <c r="G60" s="44">
        <v>0</v>
      </c>
      <c r="H60" s="37">
        <f t="shared" si="1"/>
        <v>0</v>
      </c>
      <c r="I60" s="13">
        <f t="shared" si="2"/>
        <v>2622.5548799999997</v>
      </c>
      <c r="J60" s="8">
        <f t="shared" si="25"/>
        <v>0</v>
      </c>
      <c r="K60" s="3">
        <f t="shared" si="3"/>
        <v>0</v>
      </c>
      <c r="L60" s="3">
        <f t="shared" si="19"/>
        <v>0</v>
      </c>
      <c r="M60" s="3">
        <f t="shared" si="22"/>
        <v>0</v>
      </c>
      <c r="N60" s="3">
        <f t="shared" si="26"/>
        <v>0</v>
      </c>
      <c r="O60" s="3">
        <f t="shared" si="29"/>
        <v>0</v>
      </c>
      <c r="P60" s="3">
        <f t="shared" si="32"/>
        <v>0</v>
      </c>
      <c r="Q60" s="3">
        <f t="shared" si="35"/>
        <v>0</v>
      </c>
      <c r="R60" s="3">
        <f t="shared" si="38"/>
        <v>0</v>
      </c>
      <c r="S60" s="3">
        <f t="shared" si="41"/>
        <v>0</v>
      </c>
      <c r="T60" s="3">
        <f t="shared" si="44"/>
        <v>0</v>
      </c>
      <c r="U60" s="3">
        <f t="shared" si="47"/>
        <v>0</v>
      </c>
      <c r="V60" s="3">
        <f t="shared" si="50"/>
        <v>0</v>
      </c>
      <c r="W60" s="3">
        <f t="shared" si="53"/>
        <v>0</v>
      </c>
      <c r="X60" s="3">
        <f t="shared" si="56"/>
        <v>0</v>
      </c>
      <c r="Y60" s="3">
        <f t="shared" si="59"/>
        <v>0</v>
      </c>
      <c r="Z60" s="3">
        <f t="shared" si="62"/>
        <v>0</v>
      </c>
      <c r="AA60" s="3">
        <f t="shared" si="65"/>
        <v>0</v>
      </c>
      <c r="AB60" s="3">
        <f t="shared" si="69"/>
        <v>0</v>
      </c>
      <c r="AC60" s="3">
        <f t="shared" si="72"/>
        <v>59.603519999999989</v>
      </c>
      <c r="AD60" s="3">
        <f t="shared" si="75"/>
        <v>59.603519999999989</v>
      </c>
      <c r="AE60" s="3">
        <f t="shared" si="78"/>
        <v>59.603519999999989</v>
      </c>
      <c r="AF60" s="3">
        <f t="shared" si="81"/>
        <v>59.603519999999989</v>
      </c>
      <c r="AG60" s="3">
        <f t="shared" si="84"/>
        <v>59.603519999999989</v>
      </c>
      <c r="AH60" s="3">
        <f t="shared" si="87"/>
        <v>59.603519999999989</v>
      </c>
      <c r="AI60" s="3">
        <f t="shared" si="90"/>
        <v>59.603519999999989</v>
      </c>
      <c r="AJ60" s="3">
        <f t="shared" si="93"/>
        <v>59.603519999999989</v>
      </c>
      <c r="AK60" s="3">
        <f t="shared" si="96"/>
        <v>59.603519999999989</v>
      </c>
      <c r="AL60" s="3">
        <f t="shared" si="99"/>
        <v>59.603519999999989</v>
      </c>
      <c r="AM60" s="3">
        <f t="shared" si="102"/>
        <v>59.603519999999989</v>
      </c>
      <c r="AN60" s="3">
        <f t="shared" si="105"/>
        <v>59.603519999999989</v>
      </c>
      <c r="AO60" s="8">
        <f t="shared" si="4"/>
        <v>715.24223999999992</v>
      </c>
      <c r="AP60" s="53">
        <f t="shared" si="5"/>
        <v>5.5043649067591634E-2</v>
      </c>
      <c r="AQ60" s="37">
        <f t="shared" si="6"/>
        <v>0</v>
      </c>
      <c r="AR60" s="13">
        <f t="shared" si="7"/>
        <v>8195.4840000000004</v>
      </c>
      <c r="AS60" s="8">
        <f t="shared" si="8"/>
        <v>0</v>
      </c>
      <c r="AT60" s="3">
        <f t="shared" si="9"/>
        <v>0</v>
      </c>
      <c r="AU60" s="3">
        <f t="shared" si="20"/>
        <v>0</v>
      </c>
      <c r="AV60" s="3">
        <f t="shared" si="23"/>
        <v>0</v>
      </c>
      <c r="AW60" s="3">
        <f t="shared" si="27"/>
        <v>0</v>
      </c>
      <c r="AX60" s="3">
        <f t="shared" si="30"/>
        <v>0</v>
      </c>
      <c r="AY60" s="3">
        <f t="shared" si="33"/>
        <v>0</v>
      </c>
      <c r="AZ60" s="3">
        <f t="shared" si="36"/>
        <v>0</v>
      </c>
      <c r="BA60" s="3">
        <f t="shared" si="39"/>
        <v>0</v>
      </c>
      <c r="BB60" s="3">
        <f t="shared" si="42"/>
        <v>0</v>
      </c>
      <c r="BC60" s="3">
        <f t="shared" si="45"/>
        <v>0</v>
      </c>
      <c r="BD60" s="3">
        <f t="shared" si="48"/>
        <v>0</v>
      </c>
      <c r="BE60" s="3">
        <f t="shared" si="51"/>
        <v>0</v>
      </c>
      <c r="BF60" s="3">
        <f t="shared" si="54"/>
        <v>0</v>
      </c>
      <c r="BG60" s="3">
        <f t="shared" si="57"/>
        <v>0</v>
      </c>
      <c r="BH60" s="3">
        <f t="shared" si="60"/>
        <v>0</v>
      </c>
      <c r="BI60" s="3">
        <f t="shared" si="63"/>
        <v>0</v>
      </c>
      <c r="BJ60" s="3">
        <f t="shared" si="66"/>
        <v>0</v>
      </c>
      <c r="BK60" s="3">
        <f t="shared" si="70"/>
        <v>0</v>
      </c>
      <c r="BL60" s="3">
        <f t="shared" si="73"/>
        <v>186.261</v>
      </c>
      <c r="BM60" s="3">
        <f t="shared" si="76"/>
        <v>186.261</v>
      </c>
      <c r="BN60" s="3">
        <f t="shared" si="79"/>
        <v>186.261</v>
      </c>
      <c r="BO60" s="3">
        <f t="shared" si="82"/>
        <v>186.261</v>
      </c>
      <c r="BP60" s="3">
        <f t="shared" si="85"/>
        <v>186.261</v>
      </c>
      <c r="BQ60" s="3">
        <f t="shared" si="88"/>
        <v>186.261</v>
      </c>
      <c r="BR60" s="3">
        <f t="shared" si="91"/>
        <v>186.261</v>
      </c>
      <c r="BS60" s="3">
        <f t="shared" si="94"/>
        <v>186.261</v>
      </c>
      <c r="BT60" s="3">
        <f t="shared" si="97"/>
        <v>186.261</v>
      </c>
      <c r="BU60" s="3">
        <f t="shared" si="100"/>
        <v>186.261</v>
      </c>
      <c r="BV60" s="3">
        <f t="shared" si="103"/>
        <v>186.261</v>
      </c>
      <c r="BW60" s="17">
        <f t="shared" si="106"/>
        <v>186.261</v>
      </c>
      <c r="BX60" s="8">
        <f t="shared" si="10"/>
        <v>2235.1320000000001</v>
      </c>
      <c r="BY60" s="65">
        <f t="shared" si="11"/>
        <v>0.17201140333622389</v>
      </c>
      <c r="BZ60" s="37">
        <f t="shared" si="12"/>
        <v>0</v>
      </c>
      <c r="CA60" s="13">
        <f t="shared" si="13"/>
        <v>16390.968000000001</v>
      </c>
      <c r="CB60" s="8">
        <f t="shared" si="14"/>
        <v>0</v>
      </c>
      <c r="CC60" s="3">
        <f t="shared" si="15"/>
        <v>0</v>
      </c>
      <c r="CD60" s="3">
        <f t="shared" si="21"/>
        <v>0</v>
      </c>
      <c r="CE60" s="3">
        <f t="shared" si="24"/>
        <v>0</v>
      </c>
      <c r="CF60" s="3">
        <f t="shared" si="28"/>
        <v>0</v>
      </c>
      <c r="CG60" s="3">
        <f t="shared" si="31"/>
        <v>0</v>
      </c>
      <c r="CH60" s="3">
        <f t="shared" si="34"/>
        <v>0</v>
      </c>
      <c r="CI60" s="3">
        <f t="shared" si="37"/>
        <v>0</v>
      </c>
      <c r="CJ60" s="3">
        <f t="shared" si="40"/>
        <v>0</v>
      </c>
      <c r="CK60" s="3">
        <f t="shared" si="43"/>
        <v>0</v>
      </c>
      <c r="CL60" s="3">
        <f t="shared" si="46"/>
        <v>0</v>
      </c>
      <c r="CM60" s="3">
        <f t="shared" si="49"/>
        <v>0</v>
      </c>
      <c r="CN60" s="3">
        <f t="shared" si="52"/>
        <v>0</v>
      </c>
      <c r="CO60" s="3">
        <f t="shared" si="55"/>
        <v>0</v>
      </c>
      <c r="CP60" s="3">
        <f t="shared" si="58"/>
        <v>0</v>
      </c>
      <c r="CQ60" s="3">
        <f t="shared" si="61"/>
        <v>0</v>
      </c>
      <c r="CR60" s="3">
        <f t="shared" si="64"/>
        <v>0</v>
      </c>
      <c r="CS60" s="3">
        <f t="shared" si="67"/>
        <v>0</v>
      </c>
      <c r="CT60" s="3">
        <f t="shared" si="71"/>
        <v>0</v>
      </c>
      <c r="CU60" s="3">
        <f t="shared" si="74"/>
        <v>372.52199999999999</v>
      </c>
      <c r="CV60" s="3">
        <f t="shared" si="77"/>
        <v>372.52199999999999</v>
      </c>
      <c r="CW60" s="3">
        <f t="shared" si="80"/>
        <v>372.52199999999999</v>
      </c>
      <c r="CX60" s="3">
        <f t="shared" si="83"/>
        <v>372.52199999999999</v>
      </c>
      <c r="CY60" s="3">
        <f t="shared" si="86"/>
        <v>372.52199999999999</v>
      </c>
      <c r="CZ60" s="3">
        <f t="shared" si="89"/>
        <v>372.52199999999999</v>
      </c>
      <c r="DA60" s="3">
        <f t="shared" si="92"/>
        <v>372.52199999999999</v>
      </c>
      <c r="DB60" s="3">
        <f t="shared" si="95"/>
        <v>372.52199999999999</v>
      </c>
      <c r="DC60" s="3">
        <f t="shared" si="98"/>
        <v>372.52199999999999</v>
      </c>
      <c r="DD60" s="3">
        <f t="shared" si="101"/>
        <v>372.52199999999999</v>
      </c>
      <c r="DE60" s="3">
        <f t="shared" si="104"/>
        <v>372.52199999999999</v>
      </c>
      <c r="DF60" s="17">
        <f t="shared" si="107"/>
        <v>372.52199999999999</v>
      </c>
      <c r="DG60" s="8">
        <f t="shared" si="16"/>
        <v>4470.2640000000001</v>
      </c>
      <c r="DH60" s="65">
        <f t="shared" si="17"/>
        <v>0.30896150810135925</v>
      </c>
    </row>
    <row r="61" spans="4:112" x14ac:dyDescent="0.4">
      <c r="D61" s="9">
        <f t="shared" si="108"/>
        <v>39</v>
      </c>
      <c r="E61" s="9">
        <f t="shared" si="108"/>
        <v>2055</v>
      </c>
      <c r="F61" s="8">
        <v>46765.004000000001</v>
      </c>
      <c r="G61" s="44">
        <v>0</v>
      </c>
      <c r="H61" s="37">
        <f t="shared" si="1"/>
        <v>0</v>
      </c>
      <c r="I61" s="13">
        <f t="shared" si="2"/>
        <v>2404.0086399999996</v>
      </c>
      <c r="J61" s="8">
        <f t="shared" si="25"/>
        <v>0</v>
      </c>
      <c r="K61" s="3">
        <f t="shared" si="3"/>
        <v>0</v>
      </c>
      <c r="L61" s="3">
        <f t="shared" si="19"/>
        <v>0</v>
      </c>
      <c r="M61" s="3">
        <f t="shared" si="22"/>
        <v>0</v>
      </c>
      <c r="N61" s="3">
        <f t="shared" si="26"/>
        <v>0</v>
      </c>
      <c r="O61" s="3">
        <f t="shared" si="29"/>
        <v>0</v>
      </c>
      <c r="P61" s="3">
        <f t="shared" si="32"/>
        <v>0</v>
      </c>
      <c r="Q61" s="3">
        <f t="shared" si="35"/>
        <v>0</v>
      </c>
      <c r="R61" s="3">
        <f t="shared" si="38"/>
        <v>0</v>
      </c>
      <c r="S61" s="3">
        <f t="shared" si="41"/>
        <v>0</v>
      </c>
      <c r="T61" s="3">
        <f t="shared" si="44"/>
        <v>0</v>
      </c>
      <c r="U61" s="3">
        <f t="shared" si="47"/>
        <v>0</v>
      </c>
      <c r="V61" s="3">
        <f t="shared" si="50"/>
        <v>0</v>
      </c>
      <c r="W61" s="3">
        <f t="shared" si="53"/>
        <v>0</v>
      </c>
      <c r="X61" s="3">
        <f t="shared" si="56"/>
        <v>0</v>
      </c>
      <c r="Y61" s="3">
        <f t="shared" si="59"/>
        <v>0</v>
      </c>
      <c r="Z61" s="3">
        <f t="shared" si="62"/>
        <v>0</v>
      </c>
      <c r="AA61" s="3">
        <f t="shared" si="65"/>
        <v>0</v>
      </c>
      <c r="AB61" s="3">
        <f t="shared" si="69"/>
        <v>0</v>
      </c>
      <c r="AC61" s="3">
        <f t="shared" si="72"/>
        <v>0</v>
      </c>
      <c r="AD61" s="3">
        <f t="shared" si="75"/>
        <v>59.603519999999989</v>
      </c>
      <c r="AE61" s="3">
        <f t="shared" si="78"/>
        <v>59.603519999999989</v>
      </c>
      <c r="AF61" s="3">
        <f t="shared" si="81"/>
        <v>59.603519999999989</v>
      </c>
      <c r="AG61" s="3">
        <f t="shared" si="84"/>
        <v>59.603519999999989</v>
      </c>
      <c r="AH61" s="3">
        <f t="shared" si="87"/>
        <v>59.603519999999989</v>
      </c>
      <c r="AI61" s="3">
        <f t="shared" si="90"/>
        <v>59.603519999999989</v>
      </c>
      <c r="AJ61" s="3">
        <f t="shared" si="93"/>
        <v>59.603519999999989</v>
      </c>
      <c r="AK61" s="3">
        <f t="shared" si="96"/>
        <v>59.603519999999989</v>
      </c>
      <c r="AL61" s="3">
        <f t="shared" si="99"/>
        <v>59.603519999999989</v>
      </c>
      <c r="AM61" s="3">
        <f t="shared" si="102"/>
        <v>59.603519999999989</v>
      </c>
      <c r="AN61" s="3">
        <f t="shared" si="105"/>
        <v>59.603519999999989</v>
      </c>
      <c r="AO61" s="8">
        <f t="shared" si="4"/>
        <v>655.63871999999992</v>
      </c>
      <c r="AP61" s="53">
        <f t="shared" si="5"/>
        <v>5.1406146356792776E-2</v>
      </c>
      <c r="AQ61" s="37">
        <f t="shared" si="6"/>
        <v>0</v>
      </c>
      <c r="AR61" s="13">
        <f t="shared" si="7"/>
        <v>7512.527</v>
      </c>
      <c r="AS61" s="8">
        <f t="shared" si="8"/>
        <v>0</v>
      </c>
      <c r="AT61" s="3">
        <f t="shared" si="9"/>
        <v>0</v>
      </c>
      <c r="AU61" s="3">
        <f t="shared" si="20"/>
        <v>0</v>
      </c>
      <c r="AV61" s="3">
        <f t="shared" si="23"/>
        <v>0</v>
      </c>
      <c r="AW61" s="3">
        <f t="shared" si="27"/>
        <v>0</v>
      </c>
      <c r="AX61" s="3">
        <f t="shared" si="30"/>
        <v>0</v>
      </c>
      <c r="AY61" s="3">
        <f t="shared" si="33"/>
        <v>0</v>
      </c>
      <c r="AZ61" s="3">
        <f t="shared" si="36"/>
        <v>0</v>
      </c>
      <c r="BA61" s="3">
        <f t="shared" si="39"/>
        <v>0</v>
      </c>
      <c r="BB61" s="3">
        <f t="shared" si="42"/>
        <v>0</v>
      </c>
      <c r="BC61" s="3">
        <f t="shared" si="45"/>
        <v>0</v>
      </c>
      <c r="BD61" s="3">
        <f t="shared" si="48"/>
        <v>0</v>
      </c>
      <c r="BE61" s="3">
        <f t="shared" si="51"/>
        <v>0</v>
      </c>
      <c r="BF61" s="3">
        <f t="shared" si="54"/>
        <v>0</v>
      </c>
      <c r="BG61" s="3">
        <f t="shared" si="57"/>
        <v>0</v>
      </c>
      <c r="BH61" s="3">
        <f t="shared" si="60"/>
        <v>0</v>
      </c>
      <c r="BI61" s="3">
        <f t="shared" si="63"/>
        <v>0</v>
      </c>
      <c r="BJ61" s="3">
        <f t="shared" si="66"/>
        <v>0</v>
      </c>
      <c r="BK61" s="3">
        <f t="shared" si="70"/>
        <v>0</v>
      </c>
      <c r="BL61" s="3">
        <f t="shared" si="73"/>
        <v>0</v>
      </c>
      <c r="BM61" s="3">
        <f t="shared" si="76"/>
        <v>186.261</v>
      </c>
      <c r="BN61" s="3">
        <f t="shared" si="79"/>
        <v>186.261</v>
      </c>
      <c r="BO61" s="3">
        <f t="shared" si="82"/>
        <v>186.261</v>
      </c>
      <c r="BP61" s="3">
        <f t="shared" si="85"/>
        <v>186.261</v>
      </c>
      <c r="BQ61" s="3">
        <f t="shared" si="88"/>
        <v>186.261</v>
      </c>
      <c r="BR61" s="3">
        <f t="shared" si="91"/>
        <v>186.261</v>
      </c>
      <c r="BS61" s="3">
        <f t="shared" si="94"/>
        <v>186.261</v>
      </c>
      <c r="BT61" s="3">
        <f t="shared" si="97"/>
        <v>186.261</v>
      </c>
      <c r="BU61" s="3">
        <f t="shared" si="100"/>
        <v>186.261</v>
      </c>
      <c r="BV61" s="3">
        <f t="shared" si="103"/>
        <v>186.261</v>
      </c>
      <c r="BW61" s="17">
        <f t="shared" si="106"/>
        <v>186.261</v>
      </c>
      <c r="BX61" s="8">
        <f t="shared" si="10"/>
        <v>2048.8710000000001</v>
      </c>
      <c r="BY61" s="65">
        <f t="shared" si="11"/>
        <v>0.16064420736497745</v>
      </c>
      <c r="BZ61" s="37">
        <f t="shared" si="12"/>
        <v>0</v>
      </c>
      <c r="CA61" s="13">
        <f t="shared" si="13"/>
        <v>15025.054</v>
      </c>
      <c r="CB61" s="8">
        <f t="shared" si="14"/>
        <v>0</v>
      </c>
      <c r="CC61" s="3">
        <f t="shared" si="15"/>
        <v>0</v>
      </c>
      <c r="CD61" s="3">
        <f t="shared" si="21"/>
        <v>0</v>
      </c>
      <c r="CE61" s="3">
        <f t="shared" si="24"/>
        <v>0</v>
      </c>
      <c r="CF61" s="3">
        <f t="shared" si="28"/>
        <v>0</v>
      </c>
      <c r="CG61" s="3">
        <f t="shared" si="31"/>
        <v>0</v>
      </c>
      <c r="CH61" s="3">
        <f t="shared" si="34"/>
        <v>0</v>
      </c>
      <c r="CI61" s="3">
        <f t="shared" si="37"/>
        <v>0</v>
      </c>
      <c r="CJ61" s="3">
        <f t="shared" si="40"/>
        <v>0</v>
      </c>
      <c r="CK61" s="3">
        <f t="shared" si="43"/>
        <v>0</v>
      </c>
      <c r="CL61" s="3">
        <f t="shared" si="46"/>
        <v>0</v>
      </c>
      <c r="CM61" s="3">
        <f t="shared" si="49"/>
        <v>0</v>
      </c>
      <c r="CN61" s="3">
        <f t="shared" si="52"/>
        <v>0</v>
      </c>
      <c r="CO61" s="3">
        <f t="shared" si="55"/>
        <v>0</v>
      </c>
      <c r="CP61" s="3">
        <f t="shared" si="58"/>
        <v>0</v>
      </c>
      <c r="CQ61" s="3">
        <f t="shared" si="61"/>
        <v>0</v>
      </c>
      <c r="CR61" s="3">
        <f t="shared" si="64"/>
        <v>0</v>
      </c>
      <c r="CS61" s="3">
        <f t="shared" si="67"/>
        <v>0</v>
      </c>
      <c r="CT61" s="3">
        <f t="shared" si="71"/>
        <v>0</v>
      </c>
      <c r="CU61" s="3">
        <f t="shared" si="74"/>
        <v>0</v>
      </c>
      <c r="CV61" s="3">
        <f t="shared" si="77"/>
        <v>372.52199999999999</v>
      </c>
      <c r="CW61" s="3">
        <f t="shared" si="80"/>
        <v>372.52199999999999</v>
      </c>
      <c r="CX61" s="3">
        <f t="shared" si="83"/>
        <v>372.52199999999999</v>
      </c>
      <c r="CY61" s="3">
        <f t="shared" si="86"/>
        <v>372.52199999999999</v>
      </c>
      <c r="CZ61" s="3">
        <f t="shared" si="89"/>
        <v>372.52199999999999</v>
      </c>
      <c r="DA61" s="3">
        <f t="shared" si="92"/>
        <v>372.52199999999999</v>
      </c>
      <c r="DB61" s="3">
        <f t="shared" si="95"/>
        <v>372.52199999999999</v>
      </c>
      <c r="DC61" s="3">
        <f t="shared" si="98"/>
        <v>372.52199999999999</v>
      </c>
      <c r="DD61" s="3">
        <f t="shared" si="101"/>
        <v>372.52199999999999</v>
      </c>
      <c r="DE61" s="3">
        <f t="shared" si="104"/>
        <v>372.52199999999999</v>
      </c>
      <c r="DF61" s="17">
        <f t="shared" si="107"/>
        <v>372.52199999999999</v>
      </c>
      <c r="DG61" s="8">
        <f t="shared" si="16"/>
        <v>4097.7420000000002</v>
      </c>
      <c r="DH61" s="65">
        <f t="shared" si="17"/>
        <v>0.28321471575957929</v>
      </c>
    </row>
    <row r="62" spans="4:112" ht="15" thickBot="1" x14ac:dyDescent="0.45">
      <c r="D62" s="9">
        <f>D61+1</f>
        <v>40</v>
      </c>
      <c r="E62" s="9">
        <f t="shared" si="108"/>
        <v>2056</v>
      </c>
      <c r="F62" s="8">
        <v>45885.004000000001</v>
      </c>
      <c r="G62" s="44">
        <v>0</v>
      </c>
      <c r="H62" s="38">
        <f t="shared" si="1"/>
        <v>0</v>
      </c>
      <c r="I62" s="39">
        <f t="shared" si="2"/>
        <v>2185.4623999999994</v>
      </c>
      <c r="J62" s="40">
        <f t="shared" si="25"/>
        <v>0</v>
      </c>
      <c r="K62" s="41">
        <f t="shared" si="3"/>
        <v>0</v>
      </c>
      <c r="L62" s="41">
        <f t="shared" si="19"/>
        <v>0</v>
      </c>
      <c r="M62" s="41">
        <f t="shared" si="22"/>
        <v>0</v>
      </c>
      <c r="N62" s="41">
        <f t="shared" si="26"/>
        <v>0</v>
      </c>
      <c r="O62" s="41">
        <f t="shared" si="29"/>
        <v>0</v>
      </c>
      <c r="P62" s="41">
        <f t="shared" si="32"/>
        <v>0</v>
      </c>
      <c r="Q62" s="41">
        <f t="shared" si="35"/>
        <v>0</v>
      </c>
      <c r="R62" s="41">
        <f t="shared" si="38"/>
        <v>0</v>
      </c>
      <c r="S62" s="41">
        <f t="shared" si="41"/>
        <v>0</v>
      </c>
      <c r="T62" s="41">
        <f t="shared" si="44"/>
        <v>0</v>
      </c>
      <c r="U62" s="41">
        <f t="shared" si="47"/>
        <v>0</v>
      </c>
      <c r="V62" s="41">
        <f t="shared" si="50"/>
        <v>0</v>
      </c>
      <c r="W62" s="41">
        <f t="shared" si="53"/>
        <v>0</v>
      </c>
      <c r="X62" s="41">
        <f t="shared" si="56"/>
        <v>0</v>
      </c>
      <c r="Y62" s="41">
        <f t="shared" si="59"/>
        <v>0</v>
      </c>
      <c r="Z62" s="41">
        <f t="shared" si="62"/>
        <v>0</v>
      </c>
      <c r="AA62" s="41">
        <f t="shared" si="65"/>
        <v>0</v>
      </c>
      <c r="AB62" s="41">
        <f t="shared" si="69"/>
        <v>0</v>
      </c>
      <c r="AC62" s="41">
        <f t="shared" si="72"/>
        <v>0</v>
      </c>
      <c r="AD62" s="41">
        <f t="shared" si="75"/>
        <v>0</v>
      </c>
      <c r="AE62" s="41">
        <f t="shared" si="78"/>
        <v>59.603519999999989</v>
      </c>
      <c r="AF62" s="41">
        <f t="shared" si="81"/>
        <v>59.603519999999989</v>
      </c>
      <c r="AG62" s="41">
        <f t="shared" si="84"/>
        <v>59.603519999999989</v>
      </c>
      <c r="AH62" s="41">
        <f t="shared" si="87"/>
        <v>59.603519999999989</v>
      </c>
      <c r="AI62" s="41">
        <f t="shared" si="90"/>
        <v>59.603519999999989</v>
      </c>
      <c r="AJ62" s="41">
        <f t="shared" si="93"/>
        <v>59.603519999999989</v>
      </c>
      <c r="AK62" s="41">
        <f t="shared" si="96"/>
        <v>59.603519999999989</v>
      </c>
      <c r="AL62" s="41">
        <f t="shared" si="99"/>
        <v>59.603519999999989</v>
      </c>
      <c r="AM62" s="41">
        <f t="shared" si="102"/>
        <v>59.603519999999989</v>
      </c>
      <c r="AN62" s="41">
        <f t="shared" si="105"/>
        <v>59.603519999999989</v>
      </c>
      <c r="AO62" s="40">
        <f t="shared" si="4"/>
        <v>596.03519999999992</v>
      </c>
      <c r="AP62" s="55">
        <f t="shared" si="5"/>
        <v>4.7629120834336187E-2</v>
      </c>
      <c r="AQ62" s="38">
        <f t="shared" si="6"/>
        <v>0</v>
      </c>
      <c r="AR62" s="39">
        <f t="shared" si="7"/>
        <v>6829.57</v>
      </c>
      <c r="AS62" s="40">
        <f t="shared" si="8"/>
        <v>0</v>
      </c>
      <c r="AT62" s="41">
        <f t="shared" si="9"/>
        <v>0</v>
      </c>
      <c r="AU62" s="41">
        <f t="shared" si="20"/>
        <v>0</v>
      </c>
      <c r="AV62" s="41">
        <f t="shared" si="23"/>
        <v>0</v>
      </c>
      <c r="AW62" s="41">
        <f t="shared" si="27"/>
        <v>0</v>
      </c>
      <c r="AX62" s="41">
        <f t="shared" si="30"/>
        <v>0</v>
      </c>
      <c r="AY62" s="41">
        <f t="shared" si="33"/>
        <v>0</v>
      </c>
      <c r="AZ62" s="41">
        <f t="shared" si="36"/>
        <v>0</v>
      </c>
      <c r="BA62" s="41">
        <f t="shared" si="39"/>
        <v>0</v>
      </c>
      <c r="BB62" s="41">
        <f t="shared" si="42"/>
        <v>0</v>
      </c>
      <c r="BC62" s="41">
        <f t="shared" si="45"/>
        <v>0</v>
      </c>
      <c r="BD62" s="41">
        <f t="shared" si="48"/>
        <v>0</v>
      </c>
      <c r="BE62" s="41">
        <f t="shared" si="51"/>
        <v>0</v>
      </c>
      <c r="BF62" s="41">
        <f t="shared" si="54"/>
        <v>0</v>
      </c>
      <c r="BG62" s="41">
        <f t="shared" si="57"/>
        <v>0</v>
      </c>
      <c r="BH62" s="41">
        <f t="shared" si="60"/>
        <v>0</v>
      </c>
      <c r="BI62" s="41">
        <f t="shared" si="63"/>
        <v>0</v>
      </c>
      <c r="BJ62" s="41">
        <f t="shared" si="66"/>
        <v>0</v>
      </c>
      <c r="BK62" s="41">
        <f t="shared" si="70"/>
        <v>0</v>
      </c>
      <c r="BL62" s="41">
        <f t="shared" si="73"/>
        <v>0</v>
      </c>
      <c r="BM62" s="41">
        <f t="shared" si="76"/>
        <v>0</v>
      </c>
      <c r="BN62" s="41">
        <f t="shared" si="79"/>
        <v>186.261</v>
      </c>
      <c r="BO62" s="41">
        <f t="shared" si="82"/>
        <v>186.261</v>
      </c>
      <c r="BP62" s="41">
        <f t="shared" si="85"/>
        <v>186.261</v>
      </c>
      <c r="BQ62" s="41">
        <f t="shared" si="88"/>
        <v>186.261</v>
      </c>
      <c r="BR62" s="41">
        <f t="shared" si="91"/>
        <v>186.261</v>
      </c>
      <c r="BS62" s="41">
        <f t="shared" si="94"/>
        <v>186.261</v>
      </c>
      <c r="BT62" s="41">
        <f t="shared" si="97"/>
        <v>186.261</v>
      </c>
      <c r="BU62" s="41">
        <f t="shared" si="100"/>
        <v>186.261</v>
      </c>
      <c r="BV62" s="41">
        <f t="shared" si="103"/>
        <v>186.261</v>
      </c>
      <c r="BW62" s="42">
        <f t="shared" si="106"/>
        <v>186.261</v>
      </c>
      <c r="BX62" s="40">
        <f t="shared" si="10"/>
        <v>1862.61</v>
      </c>
      <c r="BY62" s="66">
        <f t="shared" si="11"/>
        <v>0.14884100260730063</v>
      </c>
      <c r="BZ62" s="38">
        <f t="shared" si="12"/>
        <v>0</v>
      </c>
      <c r="CA62" s="39">
        <f t="shared" si="13"/>
        <v>13659.14</v>
      </c>
      <c r="CB62" s="40">
        <f t="shared" si="14"/>
        <v>0</v>
      </c>
      <c r="CC62" s="41">
        <f t="shared" si="15"/>
        <v>0</v>
      </c>
      <c r="CD62" s="41">
        <f t="shared" si="21"/>
        <v>0</v>
      </c>
      <c r="CE62" s="41">
        <f t="shared" si="24"/>
        <v>0</v>
      </c>
      <c r="CF62" s="41">
        <f t="shared" si="28"/>
        <v>0</v>
      </c>
      <c r="CG62" s="41">
        <f t="shared" si="31"/>
        <v>0</v>
      </c>
      <c r="CH62" s="41">
        <f t="shared" si="34"/>
        <v>0</v>
      </c>
      <c r="CI62" s="41">
        <f t="shared" si="37"/>
        <v>0</v>
      </c>
      <c r="CJ62" s="41">
        <f t="shared" si="40"/>
        <v>0</v>
      </c>
      <c r="CK62" s="41">
        <f t="shared" si="43"/>
        <v>0</v>
      </c>
      <c r="CL62" s="41">
        <f t="shared" si="46"/>
        <v>0</v>
      </c>
      <c r="CM62" s="41">
        <f t="shared" si="49"/>
        <v>0</v>
      </c>
      <c r="CN62" s="41">
        <f t="shared" si="52"/>
        <v>0</v>
      </c>
      <c r="CO62" s="41">
        <f t="shared" si="55"/>
        <v>0</v>
      </c>
      <c r="CP62" s="41">
        <f t="shared" si="58"/>
        <v>0</v>
      </c>
      <c r="CQ62" s="41">
        <f t="shared" si="61"/>
        <v>0</v>
      </c>
      <c r="CR62" s="41">
        <f t="shared" si="64"/>
        <v>0</v>
      </c>
      <c r="CS62" s="41">
        <f t="shared" si="67"/>
        <v>0</v>
      </c>
      <c r="CT62" s="41">
        <f t="shared" si="71"/>
        <v>0</v>
      </c>
      <c r="CU62" s="41">
        <f t="shared" si="74"/>
        <v>0</v>
      </c>
      <c r="CV62" s="41">
        <f t="shared" si="77"/>
        <v>0</v>
      </c>
      <c r="CW62" s="41">
        <f t="shared" si="80"/>
        <v>372.52199999999999</v>
      </c>
      <c r="CX62" s="41">
        <f t="shared" si="83"/>
        <v>372.52199999999999</v>
      </c>
      <c r="CY62" s="41">
        <f t="shared" si="86"/>
        <v>372.52199999999999</v>
      </c>
      <c r="CZ62" s="41">
        <f t="shared" si="89"/>
        <v>372.52199999999999</v>
      </c>
      <c r="DA62" s="41">
        <f t="shared" si="92"/>
        <v>372.52199999999999</v>
      </c>
      <c r="DB62" s="41">
        <f t="shared" si="95"/>
        <v>372.52199999999999</v>
      </c>
      <c r="DC62" s="41">
        <f t="shared" si="98"/>
        <v>372.52199999999999</v>
      </c>
      <c r="DD62" s="41">
        <f t="shared" si="101"/>
        <v>372.52199999999999</v>
      </c>
      <c r="DE62" s="41">
        <f t="shared" si="104"/>
        <v>372.52199999999999</v>
      </c>
      <c r="DF62" s="42">
        <f t="shared" si="107"/>
        <v>372.52199999999999</v>
      </c>
      <c r="DG62" s="40">
        <f t="shared" si="16"/>
        <v>3725.22</v>
      </c>
      <c r="DH62" s="66">
        <f t="shared" si="17"/>
        <v>0.25746792341779934</v>
      </c>
    </row>
    <row r="63" spans="4:112" x14ac:dyDescent="0.4">
      <c r="D63" s="19" t="s">
        <v>43</v>
      </c>
      <c r="E63" s="20"/>
      <c r="F63" s="23">
        <f>SUM(F23:F62)</f>
        <v>2795189.6940071578</v>
      </c>
      <c r="G63" s="20"/>
      <c r="H63" s="21">
        <f>SUM(H23:H62)</f>
        <v>1216.8191999999999</v>
      </c>
      <c r="I63" s="22">
        <f>SUM(I23:I62)</f>
        <v>117703.48553553921</v>
      </c>
      <c r="J63" s="20">
        <f t="shared" si="25"/>
        <v>4804.0022015999984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4">
        <f>AVERAGE(AP23:AP62)</f>
        <v>5.0930076015826567E-2</v>
      </c>
      <c r="AQ63" s="20"/>
      <c r="AR63" s="22">
        <f>SUM(AR23:AR62)</f>
        <v>367823.39229855995</v>
      </c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9">
        <f>AVERAGE(BY23:BY62)</f>
        <v>0.15915648754945805</v>
      </c>
      <c r="BZ63" s="20"/>
      <c r="CA63" s="22">
        <f>SUM(CA23:CA62)</f>
        <v>764297.37294716656</v>
      </c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9">
        <f>AVERAGE(DH23:DH62)</f>
        <v>0.36016553290761039</v>
      </c>
    </row>
  </sheetData>
  <mergeCells count="2">
    <mergeCell ref="E10:E12"/>
    <mergeCell ref="E13:E15"/>
  </mergeCells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 agric,t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de la Hoz, Gabriela G SIEPBV-DRD/N/E</dc:creator>
  <cp:lastModifiedBy>Martinez de la Hoz, Gabriela G SIEPBV-DRD/N/E</cp:lastModifiedBy>
  <dcterms:created xsi:type="dcterms:W3CDTF">2026-01-23T15:39:00Z</dcterms:created>
  <dcterms:modified xsi:type="dcterms:W3CDTF">2026-01-28T09:45:29Z</dcterms:modified>
</cp:coreProperties>
</file>