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shell.com/personal/g_martinezdelahoz_shell_com/Documents/Documents/Projects/Tausi/"/>
    </mc:Choice>
  </mc:AlternateContent>
  <xr:revisionPtr revIDLastSave="72" documentId="8_{DE115AF7-64C0-D541-A424-9F40E8FD44CD}" xr6:coauthVersionLast="47" xr6:coauthVersionMax="47" xr10:uidLastSave="{B5BCCF30-BA5F-4633-9EE3-AD65D2949C87}"/>
  <bookViews>
    <workbookView minimized="1" xWindow="-336" yWindow="-12264" windowWidth="16440" windowHeight="11376" tabRatio="877" xr2:uid="{14ABC665-F7CF-449F-B639-8023589B3BBE}"/>
  </bookViews>
  <sheets>
    <sheet name="Carbon seq model" sheetId="31" r:id="rId1"/>
    <sheet name="Transposed PD tables" sheetId="32" r:id="rId2"/>
    <sheet name="Project area" sheetId="24" r:id="rId3"/>
    <sheet name="NFC Growth model (MAI tables)" sheetId="25" r:id="rId4"/>
    <sheet name="Outgrower Woody C Pool" sheetId="30" r:id="rId5"/>
  </sheets>
  <externalReferences>
    <externalReference r:id="rId6"/>
    <externalReference r:id="rId7"/>
    <externalReference r:id="rId8"/>
  </externalReferences>
  <definedNames>
    <definedName name="Air_Freight_Result_LU">#REF!</definedName>
    <definedName name="Air_Frieght_Unique_Names">#REF!</definedName>
    <definedName name="Calcs_Lookup" localSheetId="0">#REF!</definedName>
    <definedName name="Calcs_Lookup" localSheetId="1">#REF!</definedName>
    <definedName name="Calcs_Lookup">'[1]Array Names'!$A$76:$D$82</definedName>
    <definedName name="Calculations" localSheetId="0">#REF!</definedName>
    <definedName name="Calculations" localSheetId="1">#REF!</definedName>
    <definedName name="Calculations">'[2]Air Travel'!$C$47:$C$48</definedName>
    <definedName name="Chilled" localSheetId="0">#REF!</definedName>
    <definedName name="Chilled" localSheetId="1">#REF!</definedName>
    <definedName name="Chilled">'[1]Sea Backend'!$A$52</definedName>
    <definedName name="CO2perGJ_jet">#REF!</definedName>
    <definedName name="Cooking_Results_LU">#REF!</definedName>
    <definedName name="Cooking_Unique_Name">#REF!</definedName>
    <definedName name="_xlnm.Database">#REF!</definedName>
    <definedName name="DB_DG_Col2" localSheetId="0">#REF!</definedName>
    <definedName name="DB_DG_Col2" localSheetId="1">#REF!</definedName>
    <definedName name="DB_DG_Col2">'[1]CarbonTrust Database'!$BG:$BG</definedName>
    <definedName name="DB_DG_Start2" localSheetId="0">#REF!</definedName>
    <definedName name="DB_DG_Start2" localSheetId="1">#REF!</definedName>
    <definedName name="DB_DG_Start2">'[1]CarbonTrust Database'!$BG$1</definedName>
    <definedName name="DB_Lookup" localSheetId="0">#REF!</definedName>
    <definedName name="DB_Lookup" localSheetId="1">#REF!</definedName>
    <definedName name="DB_Lookup">'[1]CarbonTrust Database'!$F:$H</definedName>
    <definedName name="DomRefrig_Results_LU">#REF!</definedName>
    <definedName name="DomRefrig_Unique">#REF!</definedName>
    <definedName name="EF_custom">#REF!</definedName>
    <definedName name="Ef_for_km">#REF!</definedName>
    <definedName name="Ef_for_mile">#REF!</definedName>
    <definedName name="Eol_Qs_LU" localSheetId="0">#REF!</definedName>
    <definedName name="Eol_Qs_LU" localSheetId="1">#REF!</definedName>
    <definedName name="Eol_Qs_LU">'[1]EoL Backend'!$D$41:$E$42</definedName>
    <definedName name="EOL_Region_LU" localSheetId="0">#REF!</definedName>
    <definedName name="EOL_Region_LU" localSheetId="1">#REF!</definedName>
    <definedName name="EOL_Region_LU">'[1]EoL Backend'!$C$209:$H$213</definedName>
    <definedName name="EOL_Results_LU">#REF!</definedName>
    <definedName name="EOL_Unique">#REF!</definedName>
    <definedName name="EOL_Unique_Name">#REF!</definedName>
    <definedName name="EOL_Unique2">#REF!</definedName>
    <definedName name="EOL_Unique3">#REF!</definedName>
    <definedName name="Fleet_data" localSheetId="0">#REF!</definedName>
    <definedName name="Fleet_data" localSheetId="1">#REF!</definedName>
    <definedName name="Fleet_data">'[1]Road BACKEND'!$F$118</definedName>
    <definedName name="Footprint_Unique_Name">#REF!</definedName>
    <definedName name="FPXC" localSheetId="0">#REF!</definedName>
    <definedName name="FPXC" localSheetId="1">#REF!</definedName>
    <definedName name="FPXC">'[1]Array Names'!$A$19</definedName>
    <definedName name="Frozen" localSheetId="0">#REF!</definedName>
    <definedName name="Frozen" localSheetId="1">#REF!</definedName>
    <definedName name="Frozen">'[1]Sea Backend'!$A$53</definedName>
    <definedName name="FX_DB_lookups" localSheetId="0">#REF!</definedName>
    <definedName name="FX_DB_lookups" localSheetId="1">#REF!</definedName>
    <definedName name="FX_DB_lookups">'[1]CarbonTrust Database'!$F:$H</definedName>
    <definedName name="fxdb">#REF!</definedName>
    <definedName name="get_dieselgperkm" localSheetId="0">#REF!</definedName>
    <definedName name="get_dieselgperkm" localSheetId="1">#REF!</definedName>
    <definedName name="get_dieselgperkm">[3]Reference!$E$196:$J$259</definedName>
    <definedName name="get_gasgperkm" localSheetId="0">#REF!</definedName>
    <definedName name="get_gasgperkm" localSheetId="1">#REF!</definedName>
    <definedName name="get_gasgperkm">[3]Reference!$E$196:$I$259</definedName>
    <definedName name="Gjperton_jet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SR_Pack_SHC_List_LU" localSheetId="0">#REF!</definedName>
    <definedName name="ISR_Pack_SHC_List_LU" localSheetId="1">#REF!</definedName>
    <definedName name="ISR_Pack_SHC_List_LU">'[1]Store Backend'!$D$283:$F$292</definedName>
    <definedName name="ISR_SHC_List_LU" localSheetId="0">#REF!</definedName>
    <definedName name="ISR_SHC_List_LU" localSheetId="1">#REF!</definedName>
    <definedName name="ISR_SHC_List_LU">'[1]Store Backend'!$D$296:$F$302</definedName>
    <definedName name="kmper_nm">#REF!</definedName>
    <definedName name="line_type">#REF!</definedName>
    <definedName name="Material_Definition">#REF!</definedName>
    <definedName name="Material_LU">#REF!</definedName>
    <definedName name="PD_Lookup">#REF!</definedName>
    <definedName name="PD_Name">#REF!</definedName>
    <definedName name="_xlnm.Print_Area">#REF!</definedName>
    <definedName name="Process_List">#REF!</definedName>
    <definedName name="Process_LU">#REF!</definedName>
    <definedName name="Rail_FC_Diesel" localSheetId="0">#REF!</definedName>
    <definedName name="Rail_FC_Diesel" localSheetId="1">#REF!</definedName>
    <definedName name="Rail_FC_Diesel">'[1]Rail Backend'!$B$44</definedName>
    <definedName name="Rail_Freight_Result_LU">#REF!</definedName>
    <definedName name="Rail_Frieght_Unique_Names">#REF!</definedName>
    <definedName name="Rail_type_DD" localSheetId="0">#REF!</definedName>
    <definedName name="Rail_type_DD" localSheetId="1">#REF!</definedName>
    <definedName name="Rail_type_DD">'[1]Array Names'!$A$68</definedName>
    <definedName name="Raw_Data_Unique">#REF!</definedName>
    <definedName name="Raw_data_unique_lu">#REF!</definedName>
    <definedName name="RDC_Results_LU">#REF!</definedName>
    <definedName name="RDC_Unique">#REF!</definedName>
    <definedName name="RDI_LU">#REF!</definedName>
    <definedName name="RDI_Name">#REF!</definedName>
    <definedName name="Recycling_Results_LU">#REF!</definedName>
    <definedName name="Recycling_Unique_Names">#REF!</definedName>
    <definedName name="RFC_Chill_Type_LU" localSheetId="0">#REF!</definedName>
    <definedName name="RFC_Chill_Type_LU" localSheetId="1">#REF!</definedName>
    <definedName name="RFC_Chill_Type_LU">'[1]Road BACKEND'!$E$135:$F$137</definedName>
    <definedName name="RFC_Pallet" localSheetId="0">#REF!</definedName>
    <definedName name="RFC_Pallet" localSheetId="1">#REF!</definedName>
    <definedName name="RFC_Pallet">'[1]Road BACKEND'!$F$124</definedName>
    <definedName name="RFC_Pallet_Type_LU" localSheetId="0">#REF!</definedName>
    <definedName name="RFC_Pallet_Type_LU" localSheetId="1">#REF!</definedName>
    <definedName name="RFC_Pallet_Type_LU">'[1]Road BACKEND'!$E$128:$F$131</definedName>
    <definedName name="Road_Freight_Result_LU">#REF!</definedName>
    <definedName name="Road_Transport_Unique_Names">#REF!</definedName>
    <definedName name="Sea_FC_Chill_types_Lu" localSheetId="0">#REF!</definedName>
    <definedName name="Sea_FC_Chill_types_Lu" localSheetId="1">#REF!</definedName>
    <definedName name="Sea_FC_Chill_types_Lu">'[1]Sea Backend'!$A$52:$F$54</definedName>
    <definedName name="Sea_FC_Containerised" localSheetId="0">#REF!</definedName>
    <definedName name="Sea_FC_Containerised" localSheetId="1">#REF!</definedName>
    <definedName name="Sea_FC_Containerised">'[1]Sea Backend'!$B$59</definedName>
    <definedName name="Sea_Freight_Result_LU">#REF!</definedName>
    <definedName name="Sea_Transport_Unique_Names">#REF!</definedName>
    <definedName name="Store_Results_Lu">#REF!</definedName>
    <definedName name="Store_Unique">#REF!</definedName>
    <definedName name="SUMM_AGROCHEM_MASTER_FILE">#REF!</definedName>
    <definedName name="UDD_Lookup">#REF!</definedName>
    <definedName name="UDD_Names">#REF!</definedName>
    <definedName name="units">#REF!</definedName>
    <definedName name="Use_Process_List">#REF!</definedName>
    <definedName name="Use_Process_List_L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31" l="1"/>
  <c r="J16" i="31"/>
  <c r="E73" i="31" l="1"/>
  <c r="E79" i="31"/>
  <c r="E32" i="31"/>
  <c r="F39" i="24"/>
  <c r="F40" i="24"/>
  <c r="F41" i="24"/>
  <c r="F42" i="24"/>
  <c r="F43" i="24"/>
  <c r="F44" i="24"/>
  <c r="F45" i="24"/>
  <c r="F46" i="24"/>
  <c r="F47" i="24"/>
  <c r="F48" i="24"/>
  <c r="B48" i="24"/>
  <c r="B44" i="24"/>
  <c r="B45" i="24" s="1"/>
  <c r="B46" i="24" s="1"/>
  <c r="B47" i="24" s="1"/>
  <c r="B11" i="24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10" i="24"/>
  <c r="K45" i="32"/>
  <c r="M45" i="32"/>
  <c r="F23" i="31"/>
  <c r="G23" i="31" s="1"/>
  <c r="H23" i="31" s="1"/>
  <c r="I23" i="31" s="1"/>
  <c r="J23" i="31" s="1"/>
  <c r="K23" i="31" s="1"/>
  <c r="L23" i="31" s="1"/>
  <c r="M23" i="31" s="1"/>
  <c r="N23" i="31" s="1"/>
  <c r="O23" i="31" s="1"/>
  <c r="P23" i="31" s="1"/>
  <c r="Q23" i="31" s="1"/>
  <c r="R23" i="31" s="1"/>
  <c r="S23" i="31" s="1"/>
  <c r="T23" i="31" s="1"/>
  <c r="U23" i="31" s="1"/>
  <c r="V23" i="31" s="1"/>
  <c r="W23" i="31" s="1"/>
  <c r="X23" i="31" s="1"/>
  <c r="Y23" i="31" s="1"/>
  <c r="Z23" i="31" s="1"/>
  <c r="AA23" i="31" s="1"/>
  <c r="AB23" i="31" s="1"/>
  <c r="AC23" i="31" s="1"/>
  <c r="AD23" i="31" s="1"/>
  <c r="AE23" i="31" s="1"/>
  <c r="AF23" i="31" s="1"/>
  <c r="AG23" i="31" s="1"/>
  <c r="AH23" i="31" s="1"/>
  <c r="AI23" i="31" s="1"/>
  <c r="AJ23" i="31" s="1"/>
  <c r="AK23" i="31" s="1"/>
  <c r="AL23" i="31" s="1"/>
  <c r="AM23" i="31" s="1"/>
  <c r="AN23" i="31" s="1"/>
  <c r="AO23" i="31" s="1"/>
  <c r="AP23" i="31" s="1"/>
  <c r="AQ23" i="31" s="1"/>
  <c r="AR23" i="31" s="1"/>
  <c r="E19" i="31"/>
  <c r="E11" i="31"/>
  <c r="AM29" i="31" s="1"/>
  <c r="I11" i="25"/>
  <c r="K11" i="25" s="1"/>
  <c r="L11" i="25" s="1"/>
  <c r="E11" i="25"/>
  <c r="BA74" i="30"/>
  <c r="BA51" i="30" s="1"/>
  <c r="BB74" i="30"/>
  <c r="BB45" i="30" s="1"/>
  <c r="BC74" i="30"/>
  <c r="BD74" i="30"/>
  <c r="BE74" i="30"/>
  <c r="BF74" i="30"/>
  <c r="BF44" i="30" s="1"/>
  <c r="BG74" i="30"/>
  <c r="BG48" i="30" s="1"/>
  <c r="BH74" i="30"/>
  <c r="BH48" i="30" s="1"/>
  <c r="BI74" i="30"/>
  <c r="BI47" i="30" s="1"/>
  <c r="BJ74" i="30"/>
  <c r="BJ50" i="30" s="1"/>
  <c r="BK74" i="30"/>
  <c r="BK51" i="30" s="1"/>
  <c r="BL74" i="30"/>
  <c r="BL59" i="30" s="1"/>
  <c r="BM74" i="30"/>
  <c r="BN74" i="30"/>
  <c r="BN45" i="30" s="1"/>
  <c r="BO48" i="30"/>
  <c r="AZ74" i="30"/>
  <c r="AZ45" i="30" s="1"/>
  <c r="BM44" i="30"/>
  <c r="BN44" i="30"/>
  <c r="BO44" i="30"/>
  <c r="BM45" i="30"/>
  <c r="BM46" i="30"/>
  <c r="BN46" i="30"/>
  <c r="BO46" i="30"/>
  <c r="BM47" i="30"/>
  <c r="BN47" i="30"/>
  <c r="BO47" i="30"/>
  <c r="BM48" i="30"/>
  <c r="BN48" i="30"/>
  <c r="BM49" i="30"/>
  <c r="BM50" i="30"/>
  <c r="BN50" i="30"/>
  <c r="BO50" i="30"/>
  <c r="BM51" i="30"/>
  <c r="BN51" i="30"/>
  <c r="BO51" i="30"/>
  <c r="BM52" i="30"/>
  <c r="BM53" i="30"/>
  <c r="BN53" i="30"/>
  <c r="BO53" i="30"/>
  <c r="BM54" i="30"/>
  <c r="BN54" i="30"/>
  <c r="BO54" i="30"/>
  <c r="BM55" i="30"/>
  <c r="BM56" i="30"/>
  <c r="BN56" i="30"/>
  <c r="BO56" i="30"/>
  <c r="BM57" i="30"/>
  <c r="BN57" i="30"/>
  <c r="BO57" i="30"/>
  <c r="BM58" i="30"/>
  <c r="BN58" i="30"/>
  <c r="BM59" i="30"/>
  <c r="BN59" i="30"/>
  <c r="BO59" i="30"/>
  <c r="BM60" i="30"/>
  <c r="BN60" i="30"/>
  <c r="BO60" i="30"/>
  <c r="BM61" i="30"/>
  <c r="BN61" i="30"/>
  <c r="BO61" i="30"/>
  <c r="BM62" i="30"/>
  <c r="BN62" i="30"/>
  <c r="BM63" i="30"/>
  <c r="BN63" i="30"/>
  <c r="BO63" i="30"/>
  <c r="BM64" i="30"/>
  <c r="BN64" i="30"/>
  <c r="BO64" i="30"/>
  <c r="BM65" i="30"/>
  <c r="BN65" i="30"/>
  <c r="BM66" i="30"/>
  <c r="BN66" i="30"/>
  <c r="BO66" i="30"/>
  <c r="BM67" i="30"/>
  <c r="BN67" i="30"/>
  <c r="BO67" i="30"/>
  <c r="BM68" i="30"/>
  <c r="BN68" i="30"/>
  <c r="BO68" i="30"/>
  <c r="BM69" i="30"/>
  <c r="BN69" i="30"/>
  <c r="BO69" i="30"/>
  <c r="BM70" i="30"/>
  <c r="BN70" i="30"/>
  <c r="BO70" i="30"/>
  <c r="BM71" i="30"/>
  <c r="BN71" i="30"/>
  <c r="BO71" i="30"/>
  <c r="BN72" i="30"/>
  <c r="BO72" i="30"/>
  <c r="BO73" i="30"/>
  <c r="BC44" i="30"/>
  <c r="BD44" i="30"/>
  <c r="BE44" i="30"/>
  <c r="BC45" i="30"/>
  <c r="BD45" i="30"/>
  <c r="BE45" i="30"/>
  <c r="BK45" i="30"/>
  <c r="BA46" i="30"/>
  <c r="BC46" i="30"/>
  <c r="BD46" i="30"/>
  <c r="BE46" i="30"/>
  <c r="BB47" i="30"/>
  <c r="BC47" i="30"/>
  <c r="BD47" i="30"/>
  <c r="BE47" i="30"/>
  <c r="BB48" i="30"/>
  <c r="BC48" i="30"/>
  <c r="BD48" i="30"/>
  <c r="BE48" i="30"/>
  <c r="BF48" i="30"/>
  <c r="BC49" i="30"/>
  <c r="BD49" i="30"/>
  <c r="BE49" i="30"/>
  <c r="BB50" i="30"/>
  <c r="BC50" i="30"/>
  <c r="BD50" i="30"/>
  <c r="BE50" i="30"/>
  <c r="BC51" i="30"/>
  <c r="BD51" i="30"/>
  <c r="BE51" i="30"/>
  <c r="BF51" i="30"/>
  <c r="BH51" i="30"/>
  <c r="BI51" i="30"/>
  <c r="BJ51" i="30"/>
  <c r="BC52" i="30"/>
  <c r="BD52" i="30"/>
  <c r="BE52" i="30"/>
  <c r="BC53" i="30"/>
  <c r="BD53" i="30"/>
  <c r="BE53" i="30"/>
  <c r="BF53" i="30"/>
  <c r="BK53" i="30"/>
  <c r="BL53" i="30"/>
  <c r="BC54" i="30"/>
  <c r="BD54" i="30"/>
  <c r="BE54" i="30"/>
  <c r="BC55" i="30"/>
  <c r="BD55" i="30"/>
  <c r="BE55" i="30"/>
  <c r="BA56" i="30"/>
  <c r="BC56" i="30"/>
  <c r="BD56" i="30"/>
  <c r="BE56" i="30"/>
  <c r="BC57" i="30"/>
  <c r="BD57" i="30"/>
  <c r="BE57" i="30"/>
  <c r="BF57" i="30"/>
  <c r="BC58" i="30"/>
  <c r="BD58" i="30"/>
  <c r="BE58" i="30"/>
  <c r="BF58" i="30"/>
  <c r="BA59" i="30"/>
  <c r="BC59" i="30"/>
  <c r="BD59" i="30"/>
  <c r="BE59" i="30"/>
  <c r="BC60" i="30"/>
  <c r="BD60" i="30"/>
  <c r="BE60" i="30"/>
  <c r="BC61" i="30"/>
  <c r="BD61" i="30"/>
  <c r="BE61" i="30"/>
  <c r="BF61" i="30"/>
  <c r="BL61" i="30"/>
  <c r="BD62" i="30"/>
  <c r="BE62" i="30"/>
  <c r="BF62" i="30"/>
  <c r="BH62" i="30"/>
  <c r="BE63" i="30"/>
  <c r="BF63" i="30"/>
  <c r="BK64" i="30"/>
  <c r="BL64" i="30"/>
  <c r="BH66" i="30"/>
  <c r="BK66" i="30"/>
  <c r="BK67" i="30"/>
  <c r="AN37" i="30"/>
  <c r="AV37" i="30" s="1"/>
  <c r="AO37" i="30"/>
  <c r="AW37" i="30" s="1"/>
  <c r="AP37" i="30"/>
  <c r="AX37" i="30" s="1"/>
  <c r="AQ37" i="30"/>
  <c r="AY37" i="30" s="1"/>
  <c r="AR37" i="30"/>
  <c r="AZ37" i="30" s="1"/>
  <c r="AS37" i="30"/>
  <c r="BA37" i="30" s="1"/>
  <c r="AT37" i="30"/>
  <c r="BB37" i="30" s="1"/>
  <c r="AM37" i="30"/>
  <c r="AU37" i="30" s="1"/>
  <c r="AY46" i="30"/>
  <c r="AX46" i="30"/>
  <c r="AW45" i="30"/>
  <c r="AV53" i="30"/>
  <c r="AU48" i="30"/>
  <c r="AT51" i="30"/>
  <c r="AS47" i="30"/>
  <c r="AR46" i="30"/>
  <c r="AQ46" i="30"/>
  <c r="AP48" i="30"/>
  <c r="AO46" i="30"/>
  <c r="AN45" i="30"/>
  <c r="AL44" i="30"/>
  <c r="C73" i="30"/>
  <c r="C72" i="30"/>
  <c r="C71" i="30"/>
  <c r="D72" i="30" s="1"/>
  <c r="C70" i="30"/>
  <c r="E72" i="30" s="1"/>
  <c r="C69" i="30"/>
  <c r="G73" i="30" s="1"/>
  <c r="C68" i="30"/>
  <c r="G72" i="30" s="1"/>
  <c r="C67" i="30"/>
  <c r="I73" i="30" s="1"/>
  <c r="C66" i="30"/>
  <c r="F69" i="30" s="1"/>
  <c r="C65" i="30"/>
  <c r="K73" i="30" s="1"/>
  <c r="C64" i="30"/>
  <c r="K72" i="30" s="1"/>
  <c r="C63" i="30"/>
  <c r="M73" i="30" s="1"/>
  <c r="C62" i="30"/>
  <c r="K70" i="30" s="1"/>
  <c r="C61" i="30"/>
  <c r="L70" i="30" s="1"/>
  <c r="C60" i="30"/>
  <c r="O72" i="30" s="1"/>
  <c r="C59" i="30"/>
  <c r="Q73" i="30" s="1"/>
  <c r="C58" i="30"/>
  <c r="F61" i="30" s="1"/>
  <c r="C57" i="30"/>
  <c r="R72" i="30" s="1"/>
  <c r="C56" i="30"/>
  <c r="D57" i="30" s="1"/>
  <c r="C55" i="30"/>
  <c r="D56" i="30" s="1"/>
  <c r="C54" i="30"/>
  <c r="R69" i="30" s="1"/>
  <c r="C53" i="30"/>
  <c r="J60" i="30" s="1"/>
  <c r="C52" i="30"/>
  <c r="F55" i="30" s="1"/>
  <c r="C51" i="30"/>
  <c r="J58" i="30" s="1"/>
  <c r="C50" i="30"/>
  <c r="R65" i="30" s="1"/>
  <c r="C49" i="30"/>
  <c r="L58" i="30" s="1"/>
  <c r="C48" i="30"/>
  <c r="R63" i="30" s="1"/>
  <c r="C47" i="30"/>
  <c r="F50" i="30" s="1"/>
  <c r="C46" i="30"/>
  <c r="O58" i="30" s="1"/>
  <c r="C45" i="30"/>
  <c r="G49" i="30" s="1"/>
  <c r="C44" i="30"/>
  <c r="J51" i="30" s="1"/>
  <c r="C36" i="30"/>
  <c r="C35" i="30"/>
  <c r="C34" i="30"/>
  <c r="C33" i="30"/>
  <c r="F36" i="30" s="1"/>
  <c r="C32" i="30"/>
  <c r="C31" i="30"/>
  <c r="C30" i="30"/>
  <c r="C29" i="30"/>
  <c r="C28" i="30"/>
  <c r="G32" i="30" s="1"/>
  <c r="C27" i="30"/>
  <c r="J34" i="30" s="1"/>
  <c r="C26" i="30"/>
  <c r="K34" i="30" s="1"/>
  <c r="C25" i="30"/>
  <c r="G29" i="30" s="1"/>
  <c r="C24" i="30"/>
  <c r="I30" i="30" s="1"/>
  <c r="C23" i="30"/>
  <c r="K31" i="30" s="1"/>
  <c r="C22" i="30"/>
  <c r="L31" i="30" s="1"/>
  <c r="C21" i="30"/>
  <c r="Q35" i="30" s="1"/>
  <c r="C20" i="30"/>
  <c r="K28" i="30" s="1"/>
  <c r="C19" i="30"/>
  <c r="O31" i="30" s="1"/>
  <c r="C18" i="30"/>
  <c r="K26" i="30" s="1"/>
  <c r="C17" i="30"/>
  <c r="D18" i="30" s="1"/>
  <c r="C16" i="30"/>
  <c r="L25" i="30" s="1"/>
  <c r="C15" i="30"/>
  <c r="H20" i="30" s="1"/>
  <c r="C14" i="30"/>
  <c r="L23" i="30" s="1"/>
  <c r="C13" i="30"/>
  <c r="D14" i="30" s="1"/>
  <c r="AD12" i="30"/>
  <c r="AD13" i="30" s="1"/>
  <c r="AD14" i="30" s="1"/>
  <c r="AD15" i="30" s="1"/>
  <c r="AD16" i="30" s="1"/>
  <c r="AD17" i="30" s="1"/>
  <c r="AD18" i="30" s="1"/>
  <c r="AD19" i="30" s="1"/>
  <c r="AD20" i="30" s="1"/>
  <c r="AD21" i="30" s="1"/>
  <c r="AD22" i="30" s="1"/>
  <c r="AD23" i="30" s="1"/>
  <c r="AD24" i="30" s="1"/>
  <c r="AD25" i="30" s="1"/>
  <c r="AD26" i="30" s="1"/>
  <c r="AD27" i="30" s="1"/>
  <c r="AD28" i="30" s="1"/>
  <c r="AD29" i="30" s="1"/>
  <c r="AD30" i="30" s="1"/>
  <c r="AD31" i="30" s="1"/>
  <c r="AD32" i="30" s="1"/>
  <c r="AD33" i="30" s="1"/>
  <c r="AD34" i="30" s="1"/>
  <c r="AD35" i="30" s="1"/>
  <c r="AD36" i="30" s="1"/>
  <c r="C12" i="30"/>
  <c r="K20" i="30" s="1"/>
  <c r="B12" i="30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C11" i="30"/>
  <c r="X32" i="30" s="1"/>
  <c r="AD10" i="30"/>
  <c r="AD9" i="30" s="1"/>
  <c r="AD8" i="30" s="1"/>
  <c r="AD7" i="30" s="1"/>
  <c r="C10" i="30"/>
  <c r="AA34" i="30" s="1"/>
  <c r="B10" i="30"/>
  <c r="B9" i="30" s="1"/>
  <c r="B8" i="30" s="1"/>
  <c r="B7" i="30" s="1"/>
  <c r="C9" i="30"/>
  <c r="K17" i="30" s="1"/>
  <c r="C8" i="30"/>
  <c r="E10" i="30" s="1"/>
  <c r="C7" i="30"/>
  <c r="D8" i="30" s="1"/>
  <c r="I41" i="25"/>
  <c r="K41" i="25"/>
  <c r="L41" i="25" s="1"/>
  <c r="E29" i="31" l="1"/>
  <c r="K32" i="31"/>
  <c r="R29" i="31"/>
  <c r="S29" i="31"/>
  <c r="AG29" i="31"/>
  <c r="AH29" i="31"/>
  <c r="J32" i="31"/>
  <c r="T37" i="31"/>
  <c r="L32" i="31"/>
  <c r="M29" i="31"/>
  <c r="AE29" i="31"/>
  <c r="G32" i="31"/>
  <c r="V32" i="31"/>
  <c r="N29" i="31"/>
  <c r="AF29" i="31"/>
  <c r="H32" i="31"/>
  <c r="W32" i="31"/>
  <c r="V29" i="31"/>
  <c r="AO29" i="31"/>
  <c r="U29" i="31"/>
  <c r="AL29" i="31"/>
  <c r="M32" i="31"/>
  <c r="W29" i="31"/>
  <c r="I29" i="31"/>
  <c r="X29" i="31"/>
  <c r="AP29" i="31"/>
  <c r="R32" i="31"/>
  <c r="P32" i="31"/>
  <c r="F32" i="31"/>
  <c r="AK29" i="31"/>
  <c r="AA29" i="31"/>
  <c r="Q29" i="31"/>
  <c r="G29" i="31"/>
  <c r="O32" i="31"/>
  <c r="AJ29" i="31"/>
  <c r="Z29" i="31"/>
  <c r="P29" i="31"/>
  <c r="F29" i="31"/>
  <c r="X32" i="31"/>
  <c r="N32" i="31"/>
  <c r="AI29" i="31"/>
  <c r="Y29" i="31"/>
  <c r="O29" i="31"/>
  <c r="S32" i="31"/>
  <c r="I32" i="31"/>
  <c r="AN29" i="31"/>
  <c r="AD29" i="31"/>
  <c r="T29" i="31"/>
  <c r="J29" i="31"/>
  <c r="H29" i="31"/>
  <c r="Q32" i="31"/>
  <c r="K29" i="31"/>
  <c r="AB29" i="31"/>
  <c r="AQ29" i="31"/>
  <c r="T32" i="31"/>
  <c r="L29" i="31"/>
  <c r="AC29" i="31"/>
  <c r="AR29" i="31"/>
  <c r="U32" i="31"/>
  <c r="BK60" i="30"/>
  <c r="BA50" i="30"/>
  <c r="BA48" i="30"/>
  <c r="BK54" i="30"/>
  <c r="BK63" i="30"/>
  <c r="BA55" i="30"/>
  <c r="BI61" i="30"/>
  <c r="BA58" i="30"/>
  <c r="BF56" i="30"/>
  <c r="BF52" i="30"/>
  <c r="BH47" i="30"/>
  <c r="BH46" i="30"/>
  <c r="BK44" i="30"/>
  <c r="BA57" i="30"/>
  <c r="BA47" i="30"/>
  <c r="BK61" i="30"/>
  <c r="BK56" i="30"/>
  <c r="BK46" i="30"/>
  <c r="BH52" i="30"/>
  <c r="BI46" i="30"/>
  <c r="BK69" i="30"/>
  <c r="BL62" i="30"/>
  <c r="BH61" i="30"/>
  <c r="BK59" i="30"/>
  <c r="BK57" i="30"/>
  <c r="BL50" i="30"/>
  <c r="BA49" i="30"/>
  <c r="BG47" i="30"/>
  <c r="BJ61" i="30"/>
  <c r="BJ56" i="30"/>
  <c r="BK47" i="30"/>
  <c r="BA45" i="30"/>
  <c r="BK68" i="30"/>
  <c r="BK62" i="30"/>
  <c r="BG61" i="30"/>
  <c r="BH57" i="30"/>
  <c r="BK50" i="30"/>
  <c r="BK48" i="30"/>
  <c r="BF47" i="30"/>
  <c r="BL69" i="30"/>
  <c r="BB55" i="30"/>
  <c r="BG52" i="30"/>
  <c r="BL44" i="30"/>
  <c r="BL63" i="30"/>
  <c r="BL60" i="30"/>
  <c r="BB58" i="30"/>
  <c r="BB57" i="30"/>
  <c r="BB49" i="30"/>
  <c r="BL47" i="30"/>
  <c r="BL46" i="30"/>
  <c r="BB46" i="30"/>
  <c r="BG62" i="30"/>
  <c r="BL54" i="30"/>
  <c r="BG51" i="30"/>
  <c r="BL70" i="30"/>
  <c r="BB59" i="30"/>
  <c r="BL57" i="30"/>
  <c r="BL56" i="30"/>
  <c r="BB56" i="30"/>
  <c r="BL48" i="30"/>
  <c r="BJ46" i="30"/>
  <c r="BL45" i="30"/>
  <c r="BL67" i="30"/>
  <c r="BL66" i="30"/>
  <c r="BL58" i="30"/>
  <c r="BL55" i="30"/>
  <c r="BB53" i="30"/>
  <c r="BB52" i="30"/>
  <c r="BB44" i="30"/>
  <c r="BB60" i="30"/>
  <c r="BK58" i="30"/>
  <c r="BG57" i="30"/>
  <c r="BI56" i="30"/>
  <c r="BK55" i="30"/>
  <c r="BA53" i="30"/>
  <c r="BA52" i="30"/>
  <c r="BL49" i="30"/>
  <c r="BG46" i="30"/>
  <c r="BA44" i="30"/>
  <c r="BL68" i="30"/>
  <c r="BJ66" i="30"/>
  <c r="BL65" i="30"/>
  <c r="BH56" i="30"/>
  <c r="BB54" i="30"/>
  <c r="BL52" i="30"/>
  <c r="BL51" i="30"/>
  <c r="BB51" i="30"/>
  <c r="BK49" i="30"/>
  <c r="BF46" i="30"/>
  <c r="BI66" i="30"/>
  <c r="BK65" i="30"/>
  <c r="BG56" i="30"/>
  <c r="BA54" i="30"/>
  <c r="BK52" i="30"/>
  <c r="BI50" i="30"/>
  <c r="BH65" i="30"/>
  <c r="BJ64" i="30"/>
  <c r="BH60" i="30"/>
  <c r="BJ59" i="30"/>
  <c r="BH55" i="30"/>
  <c r="BJ54" i="30"/>
  <c r="BH50" i="30"/>
  <c r="BJ49" i="30"/>
  <c r="BH45" i="30"/>
  <c r="BJ44" i="30"/>
  <c r="BG65" i="30"/>
  <c r="BI64" i="30"/>
  <c r="BG60" i="30"/>
  <c r="BI59" i="30"/>
  <c r="BG55" i="30"/>
  <c r="BI54" i="30"/>
  <c r="BG50" i="30"/>
  <c r="BI49" i="30"/>
  <c r="BG45" i="30"/>
  <c r="BI44" i="30"/>
  <c r="BJ68" i="30"/>
  <c r="BH64" i="30"/>
  <c r="BJ63" i="30"/>
  <c r="BF60" i="30"/>
  <c r="BH59" i="30"/>
  <c r="BJ58" i="30"/>
  <c r="BF55" i="30"/>
  <c r="BH54" i="30"/>
  <c r="BJ53" i="30"/>
  <c r="BF50" i="30"/>
  <c r="BH49" i="30"/>
  <c r="BJ48" i="30"/>
  <c r="BF45" i="30"/>
  <c r="BH44" i="30"/>
  <c r="BO49" i="30"/>
  <c r="BJ60" i="30"/>
  <c r="BI65" i="30"/>
  <c r="BI45" i="30"/>
  <c r="BG64" i="30"/>
  <c r="BI63" i="30"/>
  <c r="BG59" i="30"/>
  <c r="BI58" i="30"/>
  <c r="BG54" i="30"/>
  <c r="BI53" i="30"/>
  <c r="BG49" i="30"/>
  <c r="BI48" i="30"/>
  <c r="BG44" i="30"/>
  <c r="BO62" i="30"/>
  <c r="BO52" i="30"/>
  <c r="BN49" i="30"/>
  <c r="BJ65" i="30"/>
  <c r="BJ55" i="30"/>
  <c r="BJ45" i="30"/>
  <c r="BI60" i="30"/>
  <c r="BI55" i="30"/>
  <c r="BJ67" i="30"/>
  <c r="BF64" i="30"/>
  <c r="BH63" i="30"/>
  <c r="BJ62" i="30"/>
  <c r="BF59" i="30"/>
  <c r="BH58" i="30"/>
  <c r="BJ57" i="30"/>
  <c r="BF54" i="30"/>
  <c r="BH53" i="30"/>
  <c r="BJ52" i="30"/>
  <c r="BF49" i="30"/>
  <c r="BJ47" i="30"/>
  <c r="BO65" i="30"/>
  <c r="BO55" i="30"/>
  <c r="BN52" i="30"/>
  <c r="BO45" i="30"/>
  <c r="BI67" i="30"/>
  <c r="BG63" i="30"/>
  <c r="BI62" i="30"/>
  <c r="BG58" i="30"/>
  <c r="BI57" i="30"/>
  <c r="BG53" i="30"/>
  <c r="BI52" i="30"/>
  <c r="BO58" i="30"/>
  <c r="BN55" i="30"/>
  <c r="AB69" i="30"/>
  <c r="BJ69" i="30" s="1"/>
  <c r="AC70" i="30"/>
  <c r="BK70" i="30" s="1"/>
  <c r="AB72" i="30"/>
  <c r="BJ72" i="30" s="1"/>
  <c r="AB70" i="30"/>
  <c r="BJ70" i="30" s="1"/>
  <c r="AH44" i="30"/>
  <c r="AC73" i="30"/>
  <c r="BK73" i="30" s="1"/>
  <c r="AB73" i="30"/>
  <c r="BJ73" i="30" s="1"/>
  <c r="AC72" i="30"/>
  <c r="BK72" i="30" s="1"/>
  <c r="AD71" i="30"/>
  <c r="BL71" i="30" s="1"/>
  <c r="AD73" i="30"/>
  <c r="BL73" i="30" s="1"/>
  <c r="AB71" i="30"/>
  <c r="BJ71" i="30" s="1"/>
  <c r="AC71" i="30"/>
  <c r="BK71" i="30" s="1"/>
  <c r="AE72" i="30"/>
  <c r="BM72" i="30" s="1"/>
  <c r="AD72" i="30"/>
  <c r="BL72" i="30" s="1"/>
  <c r="AF73" i="30"/>
  <c r="BN73" i="30" s="1"/>
  <c r="AE73" i="30"/>
  <c r="BM73" i="30" s="1"/>
  <c r="BA20" i="30"/>
  <c r="BA21" i="30"/>
  <c r="BA7" i="30"/>
  <c r="BA27" i="30"/>
  <c r="BA19" i="30"/>
  <c r="BA9" i="30"/>
  <c r="BA23" i="30"/>
  <c r="BA26" i="30"/>
  <c r="BA15" i="30"/>
  <c r="BA12" i="30"/>
  <c r="BA24" i="30"/>
  <c r="BA10" i="30"/>
  <c r="BA16" i="30"/>
  <c r="BA11" i="30"/>
  <c r="BA18" i="30"/>
  <c r="BA8" i="30"/>
  <c r="BA14" i="30"/>
  <c r="BA17" i="30"/>
  <c r="BA28" i="30"/>
  <c r="BA13" i="30"/>
  <c r="BA22" i="30"/>
  <c r="BA25" i="30"/>
  <c r="BC8" i="30"/>
  <c r="BC11" i="30"/>
  <c r="BC9" i="30"/>
  <c r="BC14" i="30"/>
  <c r="BC17" i="30"/>
  <c r="BC24" i="30"/>
  <c r="BC26" i="30"/>
  <c r="BC12" i="30"/>
  <c r="BC27" i="30"/>
  <c r="BC19" i="30"/>
  <c r="BC29" i="30"/>
  <c r="BC22" i="30"/>
  <c r="BC21" i="30"/>
  <c r="BC7" i="30"/>
  <c r="BC34" i="30"/>
  <c r="AZ9" i="30"/>
  <c r="AZ23" i="30"/>
  <c r="AZ26" i="30"/>
  <c r="AZ11" i="30"/>
  <c r="AZ8" i="30"/>
  <c r="AZ12" i="30"/>
  <c r="AZ24" i="30"/>
  <c r="AZ10" i="30"/>
  <c r="AZ27" i="30"/>
  <c r="AZ13" i="30"/>
  <c r="AZ19" i="30"/>
  <c r="AZ25" i="30"/>
  <c r="AZ14" i="30"/>
  <c r="AZ15" i="30"/>
  <c r="AZ18" i="30"/>
  <c r="AZ21" i="30"/>
  <c r="AZ7" i="30"/>
  <c r="AZ20" i="30"/>
  <c r="AZ16" i="30"/>
  <c r="AZ22" i="30"/>
  <c r="AZ17" i="30"/>
  <c r="BB8" i="30"/>
  <c r="BB14" i="30"/>
  <c r="BB17" i="30"/>
  <c r="BB28" i="30"/>
  <c r="BB7" i="30"/>
  <c r="BB19" i="30"/>
  <c r="BB22" i="30"/>
  <c r="BB20" i="30"/>
  <c r="BB29" i="30"/>
  <c r="BB10" i="30"/>
  <c r="BB16" i="30"/>
  <c r="BB9" i="30"/>
  <c r="BB23" i="30"/>
  <c r="BB26" i="30"/>
  <c r="BB12" i="30"/>
  <c r="BB24" i="30"/>
  <c r="BB13" i="30"/>
  <c r="BB18" i="30"/>
  <c r="BB11" i="30"/>
  <c r="BB25" i="30"/>
  <c r="BB15" i="30"/>
  <c r="BB21" i="30"/>
  <c r="BB27" i="30"/>
  <c r="AZ32" i="30"/>
  <c r="BC16" i="30"/>
  <c r="BC30" i="30"/>
  <c r="BC25" i="30"/>
  <c r="BC20" i="30"/>
  <c r="BC15" i="30"/>
  <c r="BC10" i="30"/>
  <c r="BC28" i="30"/>
  <c r="BC23" i="30"/>
  <c r="BC18" i="30"/>
  <c r="BC13" i="30"/>
  <c r="Y36" i="30"/>
  <c r="BA36" i="30" s="1"/>
  <c r="Y34" i="30"/>
  <c r="BA34" i="30" s="1"/>
  <c r="X34" i="30"/>
  <c r="AZ34" i="30" s="1"/>
  <c r="X29" i="30"/>
  <c r="AZ29" i="30" s="1"/>
  <c r="Y29" i="30"/>
  <c r="BA29" i="30" s="1"/>
  <c r="Z30" i="30"/>
  <c r="BB30" i="30" s="1"/>
  <c r="AA31" i="30"/>
  <c r="BC31" i="30" s="1"/>
  <c r="Z31" i="30"/>
  <c r="BB31" i="30" s="1"/>
  <c r="Y31" i="30"/>
  <c r="BA31" i="30" s="1"/>
  <c r="X36" i="30"/>
  <c r="AZ36" i="30" s="1"/>
  <c r="AA36" i="30"/>
  <c r="BC36" i="30" s="1"/>
  <c r="Y35" i="30"/>
  <c r="BA35" i="30" s="1"/>
  <c r="Z32" i="30"/>
  <c r="BB32" i="30" s="1"/>
  <c r="X35" i="30"/>
  <c r="AZ35" i="30" s="1"/>
  <c r="Y33" i="30"/>
  <c r="BA33" i="30" s="1"/>
  <c r="Z34" i="30"/>
  <c r="BB34" i="30" s="1"/>
  <c r="Z33" i="30"/>
  <c r="BB33" i="30" s="1"/>
  <c r="Y32" i="30"/>
  <c r="BA32" i="30" s="1"/>
  <c r="AA35" i="30"/>
  <c r="BC35" i="30" s="1"/>
  <c r="Y30" i="30"/>
  <c r="BA30" i="30" s="1"/>
  <c r="AA33" i="30"/>
  <c r="BC33" i="30" s="1"/>
  <c r="X31" i="30"/>
  <c r="AZ31" i="30" s="1"/>
  <c r="Z36" i="30"/>
  <c r="BB36" i="30" s="1"/>
  <c r="AA32" i="30"/>
  <c r="BC32" i="30" s="1"/>
  <c r="X33" i="30"/>
  <c r="AZ33" i="30" s="1"/>
  <c r="X28" i="30"/>
  <c r="AZ28" i="30" s="1"/>
  <c r="X30" i="30"/>
  <c r="AZ30" i="30" s="1"/>
  <c r="Z35" i="30"/>
  <c r="BB35" i="30" s="1"/>
  <c r="AY23" i="30"/>
  <c r="AY12" i="30"/>
  <c r="AY20" i="30"/>
  <c r="AY24" i="30"/>
  <c r="AY13" i="30"/>
  <c r="AY18" i="30"/>
  <c r="AY19" i="30"/>
  <c r="AY9" i="30"/>
  <c r="AY21" i="30"/>
  <c r="AY25" i="30"/>
  <c r="AY14" i="30"/>
  <c r="AY26" i="30"/>
  <c r="AY15" i="30"/>
  <c r="AY7" i="30"/>
  <c r="AY22" i="30"/>
  <c r="AY17" i="30"/>
  <c r="AY16" i="30"/>
  <c r="AY8" i="30"/>
  <c r="AY10" i="30"/>
  <c r="AY11" i="30"/>
  <c r="X71" i="30"/>
  <c r="BF71" i="30" s="1"/>
  <c r="X70" i="30"/>
  <c r="BF70" i="30" s="1"/>
  <c r="Y73" i="30"/>
  <c r="BG73" i="30" s="1"/>
  <c r="X73" i="30"/>
  <c r="BF73" i="30" s="1"/>
  <c r="Y71" i="30"/>
  <c r="BG71" i="30" s="1"/>
  <c r="Y70" i="30"/>
  <c r="BG70" i="30" s="1"/>
  <c r="X72" i="30"/>
  <c r="BF72" i="30" s="1"/>
  <c r="Y67" i="30"/>
  <c r="BG67" i="30" s="1"/>
  <c r="Z68" i="30"/>
  <c r="BH68" i="30" s="1"/>
  <c r="X65" i="30"/>
  <c r="BF65" i="30" s="1"/>
  <c r="Z71" i="30"/>
  <c r="BH71" i="30" s="1"/>
  <c r="Y72" i="30"/>
  <c r="BG72" i="30" s="1"/>
  <c r="Z70" i="30"/>
  <c r="BH70" i="30" s="1"/>
  <c r="AA72" i="30"/>
  <c r="BI72" i="30" s="1"/>
  <c r="Y68" i="30"/>
  <c r="BG68" i="30" s="1"/>
  <c r="X67" i="30"/>
  <c r="BF67" i="30" s="1"/>
  <c r="Z67" i="30"/>
  <c r="BH67" i="30" s="1"/>
  <c r="AA71" i="30"/>
  <c r="BI71" i="30" s="1"/>
  <c r="Z69" i="30"/>
  <c r="BH69" i="30" s="1"/>
  <c r="Y69" i="30"/>
  <c r="BG69" i="30" s="1"/>
  <c r="AA73" i="30"/>
  <c r="BI73" i="30" s="1"/>
  <c r="X68" i="30"/>
  <c r="BF68" i="30" s="1"/>
  <c r="T72" i="30"/>
  <c r="BB72" i="30" s="1"/>
  <c r="X66" i="30"/>
  <c r="BF66" i="30" s="1"/>
  <c r="Z73" i="30"/>
  <c r="BH73" i="30" s="1"/>
  <c r="AA70" i="30"/>
  <c r="BI70" i="30" s="1"/>
  <c r="AA68" i="30"/>
  <c r="BI68" i="30" s="1"/>
  <c r="X69" i="30"/>
  <c r="BF69" i="30" s="1"/>
  <c r="V65" i="30"/>
  <c r="BD65" i="30" s="1"/>
  <c r="Y66" i="30"/>
  <c r="BG66" i="30" s="1"/>
  <c r="Z72" i="30"/>
  <c r="BH72" i="30" s="1"/>
  <c r="AA69" i="30"/>
  <c r="BI69" i="30" s="1"/>
  <c r="S60" i="30"/>
  <c r="BA60" i="30" s="1"/>
  <c r="T61" i="30"/>
  <c r="BB61" i="30" s="1"/>
  <c r="V64" i="30"/>
  <c r="BD64" i="30" s="1"/>
  <c r="T71" i="30"/>
  <c r="BB71" i="30" s="1"/>
  <c r="U73" i="30"/>
  <c r="BC73" i="30" s="1"/>
  <c r="W65" i="30"/>
  <c r="BE65" i="30" s="1"/>
  <c r="T62" i="30"/>
  <c r="BB62" i="30" s="1"/>
  <c r="T68" i="30"/>
  <c r="BB68" i="30" s="1"/>
  <c r="S64" i="30"/>
  <c r="BA64" i="30" s="1"/>
  <c r="V70" i="30"/>
  <c r="BD70" i="30" s="1"/>
  <c r="S67" i="30"/>
  <c r="BA67" i="30" s="1"/>
  <c r="U69" i="30"/>
  <c r="BC69" i="30" s="1"/>
  <c r="T67" i="30"/>
  <c r="BB67" i="30" s="1"/>
  <c r="S69" i="30"/>
  <c r="BA69" i="30" s="1"/>
  <c r="S66" i="30"/>
  <c r="BA66" i="30" s="1"/>
  <c r="U64" i="30"/>
  <c r="BC64" i="30" s="1"/>
  <c r="W71" i="30"/>
  <c r="BE71" i="30" s="1"/>
  <c r="W70" i="30"/>
  <c r="BE70" i="30" s="1"/>
  <c r="S65" i="30"/>
  <c r="BA65" i="30" s="1"/>
  <c r="U63" i="30"/>
  <c r="BC63" i="30" s="1"/>
  <c r="S68" i="30"/>
  <c r="BA68" i="30" s="1"/>
  <c r="W73" i="30"/>
  <c r="BE73" i="30" s="1"/>
  <c r="W72" i="30"/>
  <c r="BE72" i="30" s="1"/>
  <c r="S70" i="30"/>
  <c r="BA70" i="30" s="1"/>
  <c r="T73" i="30"/>
  <c r="BB73" i="30" s="1"/>
  <c r="T63" i="30"/>
  <c r="BB63" i="30" s="1"/>
  <c r="U65" i="30"/>
  <c r="BC65" i="30" s="1"/>
  <c r="V66" i="30"/>
  <c r="BD66" i="30" s="1"/>
  <c r="W66" i="30"/>
  <c r="BE66" i="30" s="1"/>
  <c r="U62" i="30"/>
  <c r="BC62" i="30" s="1"/>
  <c r="T70" i="30"/>
  <c r="BB70" i="30" s="1"/>
  <c r="V63" i="30"/>
  <c r="BD63" i="30" s="1"/>
  <c r="T69" i="30"/>
  <c r="BB69" i="30" s="1"/>
  <c r="W64" i="30"/>
  <c r="BE64" i="30" s="1"/>
  <c r="U70" i="30"/>
  <c r="BC70" i="30" s="1"/>
  <c r="V71" i="30"/>
  <c r="BD71" i="30" s="1"/>
  <c r="S73" i="30"/>
  <c r="BA73" i="30" s="1"/>
  <c r="S63" i="30"/>
  <c r="BA63" i="30" s="1"/>
  <c r="T66" i="30"/>
  <c r="BB66" i="30" s="1"/>
  <c r="U68" i="30"/>
  <c r="BC68" i="30" s="1"/>
  <c r="V69" i="30"/>
  <c r="BD69" i="30" s="1"/>
  <c r="W69" i="30"/>
  <c r="BE69" i="30" s="1"/>
  <c r="U72" i="30"/>
  <c r="BC72" i="30" s="1"/>
  <c r="V72" i="30"/>
  <c r="BD72" i="30" s="1"/>
  <c r="S72" i="30"/>
  <c r="BA72" i="30" s="1"/>
  <c r="S62" i="30"/>
  <c r="BA62" i="30" s="1"/>
  <c r="T65" i="30"/>
  <c r="BB65" i="30" s="1"/>
  <c r="U67" i="30"/>
  <c r="BC67" i="30" s="1"/>
  <c r="V68" i="30"/>
  <c r="BD68" i="30" s="1"/>
  <c r="W68" i="30"/>
  <c r="BE68" i="30" s="1"/>
  <c r="V73" i="30"/>
  <c r="BD73" i="30" s="1"/>
  <c r="U71" i="30"/>
  <c r="BC71" i="30" s="1"/>
  <c r="S71" i="30"/>
  <c r="BA71" i="30" s="1"/>
  <c r="S61" i="30"/>
  <c r="BA61" i="30" s="1"/>
  <c r="T64" i="30"/>
  <c r="BB64" i="30" s="1"/>
  <c r="U66" i="30"/>
  <c r="BC66" i="30" s="1"/>
  <c r="V67" i="30"/>
  <c r="BD67" i="30" s="1"/>
  <c r="W67" i="30"/>
  <c r="BE67" i="30" s="1"/>
  <c r="M19" i="30"/>
  <c r="R30" i="30"/>
  <c r="M18" i="30"/>
  <c r="O34" i="30"/>
  <c r="O33" i="30"/>
  <c r="P26" i="30"/>
  <c r="Q34" i="30"/>
  <c r="R29" i="30"/>
  <c r="R28" i="30"/>
  <c r="AX50" i="30"/>
  <c r="M25" i="30"/>
  <c r="T27" i="30"/>
  <c r="P27" i="30"/>
  <c r="O27" i="30"/>
  <c r="T26" i="30"/>
  <c r="AZ63" i="30"/>
  <c r="O25" i="30"/>
  <c r="U31" i="30"/>
  <c r="N35" i="30"/>
  <c r="P34" i="30"/>
  <c r="V34" i="30"/>
  <c r="O19" i="30"/>
  <c r="Q22" i="30"/>
  <c r="T24" i="30"/>
  <c r="M20" i="30"/>
  <c r="O35" i="30"/>
  <c r="P33" i="30"/>
  <c r="R36" i="30"/>
  <c r="T36" i="30"/>
  <c r="N30" i="30"/>
  <c r="S35" i="30"/>
  <c r="AN55" i="30"/>
  <c r="E71" i="30"/>
  <c r="AM71" i="30" s="1"/>
  <c r="L17" i="30"/>
  <c r="N29" i="30"/>
  <c r="S34" i="30"/>
  <c r="AO45" i="30"/>
  <c r="M30" i="30"/>
  <c r="N26" i="30"/>
  <c r="P20" i="30"/>
  <c r="Q29" i="30"/>
  <c r="S31" i="30"/>
  <c r="V32" i="30"/>
  <c r="AX51" i="30"/>
  <c r="Q33" i="30"/>
  <c r="Q32" i="30"/>
  <c r="C105" i="30"/>
  <c r="C65" i="31" s="1"/>
  <c r="M29" i="30"/>
  <c r="N20" i="30"/>
  <c r="P36" i="30"/>
  <c r="Q24" i="30"/>
  <c r="S25" i="30"/>
  <c r="W35" i="30"/>
  <c r="AY35" i="30" s="1"/>
  <c r="AN44" i="30"/>
  <c r="U32" i="30"/>
  <c r="AX44" i="30"/>
  <c r="O26" i="30"/>
  <c r="AN50" i="30"/>
  <c r="M28" i="30"/>
  <c r="N19" i="30"/>
  <c r="P35" i="30"/>
  <c r="Q23" i="30"/>
  <c r="S24" i="30"/>
  <c r="W33" i="30"/>
  <c r="AY33" i="30" s="1"/>
  <c r="AY48" i="30"/>
  <c r="AZ48" i="30"/>
  <c r="AP46" i="30"/>
  <c r="M17" i="30"/>
  <c r="U29" i="30"/>
  <c r="AZ46" i="30"/>
  <c r="AY56" i="30"/>
  <c r="N36" i="30"/>
  <c r="O24" i="30"/>
  <c r="Q30" i="30"/>
  <c r="U28" i="30"/>
  <c r="AZ72" i="30"/>
  <c r="U25" i="30"/>
  <c r="AO49" i="30"/>
  <c r="AZ47" i="30"/>
  <c r="AZ50" i="30"/>
  <c r="AY54" i="30"/>
  <c r="AY73" i="30"/>
  <c r="M31" i="30"/>
  <c r="M21" i="30"/>
  <c r="N31" i="30"/>
  <c r="N21" i="30"/>
  <c r="O29" i="30"/>
  <c r="O36" i="30"/>
  <c r="P28" i="30"/>
  <c r="Q25" i="30"/>
  <c r="R31" i="30"/>
  <c r="S36" i="30"/>
  <c r="S26" i="30"/>
  <c r="T30" i="30"/>
  <c r="U33" i="30"/>
  <c r="V35" i="30"/>
  <c r="W36" i="30"/>
  <c r="AY36" i="30" s="1"/>
  <c r="O28" i="30"/>
  <c r="T29" i="30"/>
  <c r="T28" i="30"/>
  <c r="V33" i="30"/>
  <c r="W34" i="30"/>
  <c r="AY34" i="30" s="1"/>
  <c r="W32" i="30"/>
  <c r="AY32" i="30" s="1"/>
  <c r="W31" i="30"/>
  <c r="AY31" i="30" s="1"/>
  <c r="AY52" i="30"/>
  <c r="AY51" i="30"/>
  <c r="N28" i="30"/>
  <c r="U30" i="30"/>
  <c r="AO44" i="30"/>
  <c r="P23" i="30"/>
  <c r="T25" i="30"/>
  <c r="N25" i="30"/>
  <c r="P32" i="30"/>
  <c r="R35" i="30"/>
  <c r="V29" i="30"/>
  <c r="AO47" i="30"/>
  <c r="AZ65" i="30"/>
  <c r="AY57" i="30"/>
  <c r="AN69" i="30"/>
  <c r="M34" i="30"/>
  <c r="M24" i="30"/>
  <c r="N34" i="30"/>
  <c r="N24" i="30"/>
  <c r="O32" i="30"/>
  <c r="O22" i="30"/>
  <c r="P31" i="30"/>
  <c r="P21" i="30"/>
  <c r="Q28" i="30"/>
  <c r="R34" i="30"/>
  <c r="R24" i="30"/>
  <c r="S29" i="30"/>
  <c r="T33" i="30"/>
  <c r="U36" i="30"/>
  <c r="U26" i="30"/>
  <c r="V28" i="30"/>
  <c r="W29" i="30"/>
  <c r="AY29" i="30" s="1"/>
  <c r="AZ55" i="30"/>
  <c r="P25" i="30"/>
  <c r="S33" i="30"/>
  <c r="M27" i="30"/>
  <c r="N27" i="30"/>
  <c r="Q31" i="30"/>
  <c r="R27" i="30"/>
  <c r="S32" i="30"/>
  <c r="V31" i="30"/>
  <c r="M36" i="30"/>
  <c r="R26" i="30"/>
  <c r="V30" i="30"/>
  <c r="AZ49" i="30"/>
  <c r="AO73" i="30"/>
  <c r="O23" i="30"/>
  <c r="S30" i="30"/>
  <c r="U27" i="30"/>
  <c r="AY44" i="30"/>
  <c r="AP47" i="30"/>
  <c r="AY53" i="30"/>
  <c r="AN61" i="30"/>
  <c r="M33" i="30"/>
  <c r="M23" i="30"/>
  <c r="N33" i="30"/>
  <c r="N23" i="30"/>
  <c r="O21" i="30"/>
  <c r="P30" i="30"/>
  <c r="Q21" i="30"/>
  <c r="Q27" i="30"/>
  <c r="R33" i="30"/>
  <c r="R23" i="30"/>
  <c r="S28" i="30"/>
  <c r="T32" i="30"/>
  <c r="U35" i="30"/>
  <c r="V26" i="30"/>
  <c r="V27" i="30"/>
  <c r="W28" i="30"/>
  <c r="AY28" i="30" s="1"/>
  <c r="AY55" i="30"/>
  <c r="AZ51" i="30"/>
  <c r="N18" i="30"/>
  <c r="P24" i="30"/>
  <c r="R22" i="30"/>
  <c r="AY49" i="30"/>
  <c r="M26" i="30"/>
  <c r="T35" i="30"/>
  <c r="AP44" i="30"/>
  <c r="M35" i="30"/>
  <c r="P22" i="30"/>
  <c r="R25" i="30"/>
  <c r="T34" i="30"/>
  <c r="W30" i="30"/>
  <c r="AY30" i="30" s="1"/>
  <c r="AZ44" i="30"/>
  <c r="AY47" i="30"/>
  <c r="AY50" i="30"/>
  <c r="AZ58" i="30"/>
  <c r="AO72" i="30"/>
  <c r="M32" i="30"/>
  <c r="M22" i="30"/>
  <c r="N32" i="30"/>
  <c r="N22" i="30"/>
  <c r="O30" i="30"/>
  <c r="O20" i="30"/>
  <c r="P29" i="30"/>
  <c r="Q36" i="30"/>
  <c r="Q26" i="30"/>
  <c r="R32" i="30"/>
  <c r="S23" i="30"/>
  <c r="S27" i="30"/>
  <c r="T31" i="30"/>
  <c r="U34" i="30"/>
  <c r="V36" i="30"/>
  <c r="W27" i="30"/>
  <c r="AY27" i="30" s="1"/>
  <c r="C92" i="30"/>
  <c r="E66" i="30"/>
  <c r="AM66" i="30" s="1"/>
  <c r="E36" i="30"/>
  <c r="K60" i="30"/>
  <c r="AS60" i="30" s="1"/>
  <c r="AQ45" i="30"/>
  <c r="D30" i="30"/>
  <c r="P68" i="30"/>
  <c r="AX68" i="30" s="1"/>
  <c r="AQ49" i="30"/>
  <c r="O57" i="30"/>
  <c r="AW57" i="30" s="1"/>
  <c r="J63" i="30"/>
  <c r="AR63" i="30" s="1"/>
  <c r="AK57" i="30"/>
  <c r="I15" i="30"/>
  <c r="F60" i="30"/>
  <c r="AN60" i="30" s="1"/>
  <c r="G57" i="30"/>
  <c r="AO57" i="30" s="1"/>
  <c r="K57" i="30"/>
  <c r="AS57" i="30" s="1"/>
  <c r="AR58" i="30"/>
  <c r="N68" i="30"/>
  <c r="AV68" i="30" s="1"/>
  <c r="J33" i="30"/>
  <c r="D27" i="30"/>
  <c r="AT49" i="30"/>
  <c r="AR49" i="30"/>
  <c r="R68" i="30"/>
  <c r="AZ68" i="30" s="1"/>
  <c r="F27" i="30"/>
  <c r="F65" i="30"/>
  <c r="AN65" i="30" s="1"/>
  <c r="AM72" i="30"/>
  <c r="H54" i="30"/>
  <c r="AP54" i="30" s="1"/>
  <c r="AU51" i="30"/>
  <c r="AS49" i="30"/>
  <c r="K65" i="30"/>
  <c r="AS65" i="30" s="1"/>
  <c r="F30" i="30"/>
  <c r="F47" i="30"/>
  <c r="AN47" i="30" s="1"/>
  <c r="AK67" i="30"/>
  <c r="L18" i="30"/>
  <c r="H30" i="30"/>
  <c r="G36" i="30"/>
  <c r="AS51" i="30"/>
  <c r="E59" i="30"/>
  <c r="AM59" i="30" s="1"/>
  <c r="L36" i="30"/>
  <c r="H32" i="30"/>
  <c r="L27" i="30"/>
  <c r="F58" i="30"/>
  <c r="AN58" i="30" s="1"/>
  <c r="D10" i="30"/>
  <c r="AQ44" i="30"/>
  <c r="G58" i="30"/>
  <c r="AO58" i="30" s="1"/>
  <c r="P66" i="30"/>
  <c r="AX66" i="30" s="1"/>
  <c r="P70" i="30"/>
  <c r="AX70" i="30" s="1"/>
  <c r="L55" i="30"/>
  <c r="AT55" i="30" s="1"/>
  <c r="AQ48" i="30"/>
  <c r="L61" i="30"/>
  <c r="AT61" i="30" s="1"/>
  <c r="D11" i="30"/>
  <c r="P58" i="30"/>
  <c r="AX58" i="30" s="1"/>
  <c r="AK62" i="30"/>
  <c r="R70" i="30"/>
  <c r="AZ70" i="30" s="1"/>
  <c r="E11" i="30"/>
  <c r="I24" i="30"/>
  <c r="E47" i="30"/>
  <c r="AM47" i="30" s="1"/>
  <c r="G53" i="30"/>
  <c r="AO53" i="30" s="1"/>
  <c r="AU73" i="30"/>
  <c r="R67" i="30"/>
  <c r="AZ67" i="30" s="1"/>
  <c r="AL72" i="30"/>
  <c r="K32" i="30"/>
  <c r="H24" i="30"/>
  <c r="AR44" i="30"/>
  <c r="AU44" i="30"/>
  <c r="K54" i="30"/>
  <c r="AS54" i="30" s="1"/>
  <c r="Q68" i="30"/>
  <c r="AY68" i="30" s="1"/>
  <c r="H22" i="30"/>
  <c r="E29" i="30"/>
  <c r="AS46" i="30"/>
  <c r="AR60" i="30"/>
  <c r="H55" i="30"/>
  <c r="AP55" i="30" s="1"/>
  <c r="F57" i="30"/>
  <c r="AN57" i="30" s="1"/>
  <c r="N62" i="30"/>
  <c r="AV62" i="30" s="1"/>
  <c r="AS73" i="30"/>
  <c r="P69" i="30"/>
  <c r="AX69" i="30" s="1"/>
  <c r="I57" i="30"/>
  <c r="AQ57" i="30" s="1"/>
  <c r="E16" i="30"/>
  <c r="AS45" i="30"/>
  <c r="AS48" i="30"/>
  <c r="D21" i="30"/>
  <c r="AK54" i="30"/>
  <c r="R61" i="30"/>
  <c r="AZ61" i="30" s="1"/>
  <c r="J17" i="30"/>
  <c r="F21" i="30"/>
  <c r="G31" i="30"/>
  <c r="D34" i="30"/>
  <c r="AQ47" i="30"/>
  <c r="AS50" i="30"/>
  <c r="L56" i="30"/>
  <c r="AT56" i="30" s="1"/>
  <c r="AS70" i="30"/>
  <c r="L64" i="30"/>
  <c r="AT64" i="30" s="1"/>
  <c r="AQ73" i="30"/>
  <c r="Q71" i="30"/>
  <c r="AY71" i="30" s="1"/>
  <c r="F73" i="30"/>
  <c r="AN73" i="30" s="1"/>
  <c r="G27" i="30"/>
  <c r="AR45" i="30"/>
  <c r="D48" i="30"/>
  <c r="AL48" i="30" s="1"/>
  <c r="P60" i="30"/>
  <c r="AX60" i="30" s="1"/>
  <c r="D20" i="30"/>
  <c r="L33" i="30"/>
  <c r="D71" i="30"/>
  <c r="L28" i="30"/>
  <c r="AR51" i="30"/>
  <c r="F15" i="30"/>
  <c r="H31" i="30"/>
  <c r="AM44" i="30"/>
  <c r="AR47" i="30"/>
  <c r="J52" i="30"/>
  <c r="AR52" i="30" s="1"/>
  <c r="D58" i="30"/>
  <c r="AL58" i="30" s="1"/>
  <c r="M59" i="30"/>
  <c r="AU59" i="30" s="1"/>
  <c r="K62" i="30"/>
  <c r="AS62" i="30" s="1"/>
  <c r="M64" i="30"/>
  <c r="AU64" i="30" s="1"/>
  <c r="M67" i="30"/>
  <c r="AU67" i="30" s="1"/>
  <c r="L69" i="30"/>
  <c r="AT69" i="30" s="1"/>
  <c r="R71" i="30"/>
  <c r="AZ71" i="30" s="1"/>
  <c r="AS44" i="30"/>
  <c r="AT58" i="30"/>
  <c r="AK63" i="30"/>
  <c r="AW44" i="30"/>
  <c r="H56" i="30"/>
  <c r="AP56" i="30" s="1"/>
  <c r="AS72" i="30"/>
  <c r="C81" i="30"/>
  <c r="C82" i="30"/>
  <c r="H15" i="30"/>
  <c r="G22" i="30"/>
  <c r="F26" i="30"/>
  <c r="J31" i="30"/>
  <c r="E58" i="30"/>
  <c r="AM58" i="30" s="1"/>
  <c r="P59" i="30"/>
  <c r="AX59" i="30" s="1"/>
  <c r="L62" i="30"/>
  <c r="AT62" i="30" s="1"/>
  <c r="P64" i="30"/>
  <c r="AX64" i="30" s="1"/>
  <c r="N67" i="30"/>
  <c r="AV67" i="30" s="1"/>
  <c r="O69" i="30"/>
  <c r="AW69" i="30" s="1"/>
  <c r="I32" i="30"/>
  <c r="J22" i="30"/>
  <c r="E18" i="30"/>
  <c r="D31" i="30"/>
  <c r="H33" i="30"/>
  <c r="C109" i="30"/>
  <c r="C69" i="31" s="1"/>
  <c r="AW47" i="30"/>
  <c r="H49" i="30"/>
  <c r="AP49" i="30" s="1"/>
  <c r="AK65" i="30"/>
  <c r="L67" i="30"/>
  <c r="AT67" i="30" s="1"/>
  <c r="F18" i="30"/>
  <c r="D28" i="30"/>
  <c r="E31" i="30"/>
  <c r="F32" i="30"/>
  <c r="I33" i="30"/>
  <c r="D36" i="30"/>
  <c r="AK44" i="30"/>
  <c r="AV44" i="30"/>
  <c r="AP45" i="30"/>
  <c r="AN46" i="30"/>
  <c r="AX47" i="30"/>
  <c r="AT48" i="30"/>
  <c r="AK52" i="30"/>
  <c r="I53" i="30"/>
  <c r="AQ53" i="30" s="1"/>
  <c r="J54" i="30"/>
  <c r="AR54" i="30" s="1"/>
  <c r="I55" i="30"/>
  <c r="AQ55" i="30" s="1"/>
  <c r="J56" i="30"/>
  <c r="AR56" i="30" s="1"/>
  <c r="AZ57" i="30"/>
  <c r="Q58" i="30"/>
  <c r="AY58" i="30" s="1"/>
  <c r="O59" i="30"/>
  <c r="AW59" i="30" s="1"/>
  <c r="L60" i="30"/>
  <c r="AT60" i="30" s="1"/>
  <c r="O61" i="30"/>
  <c r="AW61" i="30" s="1"/>
  <c r="Q63" i="30"/>
  <c r="AY63" i="30" s="1"/>
  <c r="R66" i="30"/>
  <c r="AZ66" i="30" s="1"/>
  <c r="M69" i="30"/>
  <c r="AU69" i="30" s="1"/>
  <c r="N69" i="30"/>
  <c r="AV69" i="30" s="1"/>
  <c r="F35" i="30"/>
  <c r="AX54" i="30"/>
  <c r="AX56" i="30"/>
  <c r="AW72" i="30"/>
  <c r="D61" i="30"/>
  <c r="H65" i="30"/>
  <c r="AP65" i="30" s="1"/>
  <c r="F66" i="30"/>
  <c r="AN66" i="30" s="1"/>
  <c r="F71" i="30"/>
  <c r="AN71" i="30" s="1"/>
  <c r="H72" i="30"/>
  <c r="AP72" i="30" s="1"/>
  <c r="H73" i="30"/>
  <c r="AP73" i="30" s="1"/>
  <c r="E48" i="30"/>
  <c r="AM48" i="30" s="1"/>
  <c r="D64" i="30"/>
  <c r="F68" i="30"/>
  <c r="AN68" i="30" s="1"/>
  <c r="G71" i="30"/>
  <c r="AO71" i="30" s="1"/>
  <c r="I22" i="30"/>
  <c r="D66" i="30"/>
  <c r="AL66" i="30" s="1"/>
  <c r="J24" i="30"/>
  <c r="AW52" i="30"/>
  <c r="K24" i="30"/>
  <c r="H27" i="30"/>
  <c r="AX53" i="30"/>
  <c r="F11" i="30"/>
  <c r="H26" i="30"/>
  <c r="E61" i="30"/>
  <c r="AM61" i="30" s="1"/>
  <c r="H70" i="30"/>
  <c r="AP70" i="30" s="1"/>
  <c r="G11" i="30"/>
  <c r="H12" i="30"/>
  <c r="H13" i="30"/>
  <c r="I14" i="30"/>
  <c r="J15" i="30"/>
  <c r="G16" i="30"/>
  <c r="F19" i="30"/>
  <c r="G21" i="30"/>
  <c r="K23" i="30"/>
  <c r="J26" i="30"/>
  <c r="F29" i="30"/>
  <c r="L30" i="30"/>
  <c r="E34" i="30"/>
  <c r="K35" i="30"/>
  <c r="AK45" i="30"/>
  <c r="AX45" i="30"/>
  <c r="AW46" i="30"/>
  <c r="G48" i="30"/>
  <c r="AO48" i="30" s="1"/>
  <c r="E49" i="30"/>
  <c r="AM49" i="30" s="1"/>
  <c r="E51" i="30"/>
  <c r="AM51" i="30" s="1"/>
  <c r="D52" i="30"/>
  <c r="AZ52" i="30"/>
  <c r="AZ53" i="30"/>
  <c r="AZ54" i="30"/>
  <c r="AZ56" i="30"/>
  <c r="H58" i="30"/>
  <c r="AP58" i="30" s="1"/>
  <c r="F59" i="30"/>
  <c r="AN59" i="30" s="1"/>
  <c r="H60" i="30"/>
  <c r="AP60" i="30" s="1"/>
  <c r="D62" i="30"/>
  <c r="F63" i="30"/>
  <c r="AN63" i="30" s="1"/>
  <c r="E64" i="30"/>
  <c r="AM64" i="30" s="1"/>
  <c r="L65" i="30"/>
  <c r="AT65" i="30" s="1"/>
  <c r="L66" i="30"/>
  <c r="AT66" i="30" s="1"/>
  <c r="D67" i="30"/>
  <c r="AL67" i="30" s="1"/>
  <c r="H68" i="30"/>
  <c r="AP68" i="30" s="1"/>
  <c r="D69" i="30"/>
  <c r="AL69" i="30" s="1"/>
  <c r="I70" i="30"/>
  <c r="AQ70" i="30" s="1"/>
  <c r="H71" i="30"/>
  <c r="AP71" i="30" s="1"/>
  <c r="L72" i="30"/>
  <c r="AT72" i="30" s="1"/>
  <c r="J73" i="30"/>
  <c r="AR73" i="30" s="1"/>
  <c r="D16" i="30"/>
  <c r="AW53" i="30"/>
  <c r="E21" i="30"/>
  <c r="G26" i="30"/>
  <c r="G30" i="30"/>
  <c r="AV45" i="30"/>
  <c r="AX52" i="30"/>
  <c r="F16" i="30"/>
  <c r="E19" i="30"/>
  <c r="G23" i="30"/>
  <c r="J35" i="30"/>
  <c r="D9" i="30"/>
  <c r="L16" i="30"/>
  <c r="G19" i="30"/>
  <c r="H21" i="30"/>
  <c r="D25" i="30"/>
  <c r="H29" i="30"/>
  <c r="H34" i="30"/>
  <c r="L35" i="30"/>
  <c r="AM45" i="30"/>
  <c r="AY45" i="30"/>
  <c r="F49" i="30"/>
  <c r="AN49" i="30" s="1"/>
  <c r="D50" i="30"/>
  <c r="I51" i="30"/>
  <c r="AQ51" i="30" s="1"/>
  <c r="F52" i="30"/>
  <c r="AN52" i="30" s="1"/>
  <c r="AZ69" i="30"/>
  <c r="E56" i="30"/>
  <c r="AM56" i="30" s="1"/>
  <c r="I58" i="30"/>
  <c r="AQ58" i="30" s="1"/>
  <c r="J59" i="30"/>
  <c r="AR59" i="30" s="1"/>
  <c r="I60" i="30"/>
  <c r="AQ60" i="30" s="1"/>
  <c r="G61" i="30"/>
  <c r="AO61" i="30" s="1"/>
  <c r="H62" i="30"/>
  <c r="AP62" i="30" s="1"/>
  <c r="G63" i="30"/>
  <c r="AO63" i="30" s="1"/>
  <c r="F64" i="30"/>
  <c r="AN64" i="30" s="1"/>
  <c r="P65" i="30"/>
  <c r="AX65" i="30" s="1"/>
  <c r="N66" i="30"/>
  <c r="AV66" i="30" s="1"/>
  <c r="J67" i="30"/>
  <c r="AR67" i="30" s="1"/>
  <c r="I68" i="30"/>
  <c r="AQ68" i="30" s="1"/>
  <c r="J70" i="30"/>
  <c r="AR70" i="30" s="1"/>
  <c r="L71" i="30"/>
  <c r="AT71" i="30" s="1"/>
  <c r="N72" i="30"/>
  <c r="AV72" i="30" s="1"/>
  <c r="P73" i="30"/>
  <c r="AX73" i="30" s="1"/>
  <c r="C101" i="30"/>
  <c r="C61" i="31" s="1"/>
  <c r="AV48" i="30"/>
  <c r="AL56" i="30"/>
  <c r="G12" i="30"/>
  <c r="AL57" i="30"/>
  <c r="D63" i="30"/>
  <c r="H66" i="30"/>
  <c r="AP66" i="30" s="1"/>
  <c r="J72" i="30"/>
  <c r="AR72" i="30" s="1"/>
  <c r="I21" i="30"/>
  <c r="D33" i="30"/>
  <c r="I52" i="30"/>
  <c r="AQ52" i="30" s="1"/>
  <c r="E53" i="30"/>
  <c r="AM53" i="30" s="1"/>
  <c r="E54" i="30"/>
  <c r="AM54" i="30" s="1"/>
  <c r="F56" i="30"/>
  <c r="AN56" i="30" s="1"/>
  <c r="E57" i="30"/>
  <c r="AM57" i="30" s="1"/>
  <c r="L59" i="30"/>
  <c r="AT59" i="30" s="1"/>
  <c r="H61" i="30"/>
  <c r="AP61" i="30" s="1"/>
  <c r="J62" i="30"/>
  <c r="AR62" i="30" s="1"/>
  <c r="I63" i="30"/>
  <c r="AQ63" i="30" s="1"/>
  <c r="J64" i="30"/>
  <c r="AR64" i="30" s="1"/>
  <c r="O66" i="30"/>
  <c r="AW66" i="30" s="1"/>
  <c r="K67" i="30"/>
  <c r="AS67" i="30" s="1"/>
  <c r="J68" i="30"/>
  <c r="AR68" i="30" s="1"/>
  <c r="J69" i="30"/>
  <c r="AR69" i="30" s="1"/>
  <c r="N71" i="30"/>
  <c r="AV71" i="30" s="1"/>
  <c r="H16" i="30"/>
  <c r="K33" i="30"/>
  <c r="E14" i="30"/>
  <c r="H17" i="30"/>
  <c r="K18" i="30"/>
  <c r="J19" i="30"/>
  <c r="C94" i="30"/>
  <c r="K29" i="30"/>
  <c r="I27" i="30"/>
  <c r="G25" i="30"/>
  <c r="D22" i="30"/>
  <c r="K30" i="30"/>
  <c r="C95" i="30"/>
  <c r="C55" i="31" s="1"/>
  <c r="F23" i="30"/>
  <c r="E27" i="30"/>
  <c r="C87" i="30"/>
  <c r="F17" i="30"/>
  <c r="D15" i="30"/>
  <c r="J21" i="30"/>
  <c r="I17" i="30"/>
  <c r="AB8" i="30"/>
  <c r="D35" i="30"/>
  <c r="C107" i="30"/>
  <c r="C67" i="31" s="1"/>
  <c r="I20" i="30"/>
  <c r="C104" i="30"/>
  <c r="C64" i="31" s="1"/>
  <c r="H36" i="30"/>
  <c r="E33" i="30"/>
  <c r="F34" i="30"/>
  <c r="D32" i="30"/>
  <c r="G35" i="30"/>
  <c r="C80" i="30"/>
  <c r="C40" i="31" s="1"/>
  <c r="I13" i="30"/>
  <c r="E9" i="30"/>
  <c r="F10" i="30"/>
  <c r="D12" i="30"/>
  <c r="E13" i="30"/>
  <c r="K15" i="30"/>
  <c r="J20" i="30"/>
  <c r="C96" i="30"/>
  <c r="C56" i="31" s="1"/>
  <c r="E25" i="30"/>
  <c r="L32" i="30"/>
  <c r="H28" i="30"/>
  <c r="D24" i="30"/>
  <c r="J30" i="30"/>
  <c r="E24" i="30"/>
  <c r="F25" i="30"/>
  <c r="I29" i="30"/>
  <c r="AT52" i="30"/>
  <c r="AT45" i="30"/>
  <c r="AT44" i="30"/>
  <c r="AT50" i="30"/>
  <c r="AT47" i="30"/>
  <c r="AT46" i="30"/>
  <c r="C84" i="30"/>
  <c r="J18" i="30"/>
  <c r="F14" i="30"/>
  <c r="G15" i="30"/>
  <c r="C93" i="30"/>
  <c r="I26" i="30"/>
  <c r="J27" i="30"/>
  <c r="H25" i="30"/>
  <c r="E22" i="30"/>
  <c r="Q62" i="30"/>
  <c r="AY62" i="30" s="1"/>
  <c r="O60" i="30"/>
  <c r="AW60" i="30" s="1"/>
  <c r="L57" i="30"/>
  <c r="AT57" i="30" s="1"/>
  <c r="G52" i="30"/>
  <c r="AO52" i="30" s="1"/>
  <c r="K56" i="30"/>
  <c r="AS56" i="30" s="1"/>
  <c r="I54" i="30"/>
  <c r="AQ54" i="30" s="1"/>
  <c r="P61" i="30"/>
  <c r="AX61" i="30" s="1"/>
  <c r="J55" i="30"/>
  <c r="AR55" i="30" s="1"/>
  <c r="F51" i="30"/>
  <c r="AN51" i="30" s="1"/>
  <c r="H53" i="30"/>
  <c r="AP53" i="30" s="1"/>
  <c r="E50" i="30"/>
  <c r="AM50" i="30" s="1"/>
  <c r="AK48" i="30"/>
  <c r="M58" i="30"/>
  <c r="AU58" i="30" s="1"/>
  <c r="C83" i="30"/>
  <c r="G14" i="30"/>
  <c r="L19" i="30"/>
  <c r="I16" i="30"/>
  <c r="C91" i="30"/>
  <c r="D19" i="30"/>
  <c r="H23" i="30"/>
  <c r="E20" i="30"/>
  <c r="K22" i="30"/>
  <c r="I31" i="30"/>
  <c r="C98" i="30"/>
  <c r="C58" i="31" s="1"/>
  <c r="F28" i="30"/>
  <c r="D26" i="30"/>
  <c r="N59" i="30"/>
  <c r="AV59" i="30" s="1"/>
  <c r="D13" i="30"/>
  <c r="E30" i="30"/>
  <c r="I34" i="30"/>
  <c r="K36" i="30"/>
  <c r="D29" i="30"/>
  <c r="F31" i="30"/>
  <c r="AB7" i="30"/>
  <c r="E12" i="30"/>
  <c r="F13" i="30"/>
  <c r="J14" i="30"/>
  <c r="C90" i="30"/>
  <c r="I23" i="30"/>
  <c r="F20" i="30"/>
  <c r="H19" i="30"/>
  <c r="D23" i="30"/>
  <c r="F24" i="30"/>
  <c r="J25" i="30"/>
  <c r="L26" i="30"/>
  <c r="I28" i="30"/>
  <c r="J29" i="30"/>
  <c r="L34" i="30"/>
  <c r="D49" i="30"/>
  <c r="AK56" i="30"/>
  <c r="AK70" i="30"/>
  <c r="AK60" i="30"/>
  <c r="AK68" i="30"/>
  <c r="AK49" i="30"/>
  <c r="AK73" i="30"/>
  <c r="AK55" i="30"/>
  <c r="AK51" i="30"/>
  <c r="AK47" i="30"/>
  <c r="AK46" i="30"/>
  <c r="AK64" i="30"/>
  <c r="AU53" i="30"/>
  <c r="AU50" i="30"/>
  <c r="AU49" i="30"/>
  <c r="AU52" i="30"/>
  <c r="AU45" i="30"/>
  <c r="AU47" i="30"/>
  <c r="AU46" i="30"/>
  <c r="K19" i="30"/>
  <c r="C86" i="30"/>
  <c r="E15" i="30"/>
  <c r="K21" i="30"/>
  <c r="H18" i="30"/>
  <c r="AK72" i="30"/>
  <c r="D73" i="30"/>
  <c r="C85" i="30"/>
  <c r="L21" i="30"/>
  <c r="I18" i="30"/>
  <c r="L22" i="30"/>
  <c r="H14" i="30"/>
  <c r="J16" i="30"/>
  <c r="F12" i="30"/>
  <c r="G13" i="30"/>
  <c r="J23" i="30"/>
  <c r="G20" i="30"/>
  <c r="D17" i="30"/>
  <c r="C89" i="30"/>
  <c r="G17" i="30"/>
  <c r="G18" i="30"/>
  <c r="I19" i="30"/>
  <c r="L20" i="30"/>
  <c r="E23" i="30"/>
  <c r="G24" i="30"/>
  <c r="K25" i="30"/>
  <c r="J28" i="30"/>
  <c r="L29" i="30"/>
  <c r="C103" i="30"/>
  <c r="C63" i="31" s="1"/>
  <c r="I36" i="30"/>
  <c r="F33" i="30"/>
  <c r="G34" i="30"/>
  <c r="E32" i="30"/>
  <c r="H35" i="30"/>
  <c r="J32" i="30"/>
  <c r="C108" i="30"/>
  <c r="C68" i="31" s="1"/>
  <c r="AT70" i="30"/>
  <c r="AV51" i="30"/>
  <c r="AV54" i="30"/>
  <c r="AV50" i="30"/>
  <c r="AV49" i="30"/>
  <c r="AV47" i="30"/>
  <c r="AV46" i="30"/>
  <c r="AV52" i="30"/>
  <c r="Q72" i="30"/>
  <c r="AY72" i="30" s="1"/>
  <c r="O70" i="30"/>
  <c r="AW70" i="30" s="1"/>
  <c r="M68" i="30"/>
  <c r="AU68" i="30" s="1"/>
  <c r="K66" i="30"/>
  <c r="AS66" i="30" s="1"/>
  <c r="I64" i="30"/>
  <c r="AQ64" i="30" s="1"/>
  <c r="G62" i="30"/>
  <c r="AO62" i="30" s="1"/>
  <c r="E60" i="30"/>
  <c r="AM60" i="30" s="1"/>
  <c r="P71" i="30"/>
  <c r="AX71" i="30" s="1"/>
  <c r="J65" i="30"/>
  <c r="AR65" i="30" s="1"/>
  <c r="D59" i="30"/>
  <c r="AL59" i="30" s="1"/>
  <c r="AK58" i="30"/>
  <c r="AK66" i="30"/>
  <c r="C99" i="30"/>
  <c r="C59" i="31" s="1"/>
  <c r="AW51" i="30"/>
  <c r="AW54" i="30"/>
  <c r="AW49" i="30"/>
  <c r="AW55" i="30"/>
  <c r="L24" i="30"/>
  <c r="E28" i="30"/>
  <c r="AW48" i="30"/>
  <c r="K58" i="30"/>
  <c r="D51" i="30"/>
  <c r="Q64" i="30"/>
  <c r="AY64" i="30" s="1"/>
  <c r="O62" i="30"/>
  <c r="AW62" i="30" s="1"/>
  <c r="M60" i="30"/>
  <c r="AU60" i="30" s="1"/>
  <c r="P63" i="30"/>
  <c r="AX63" i="30" s="1"/>
  <c r="J57" i="30"/>
  <c r="AR57" i="30" s="1"/>
  <c r="F53" i="30"/>
  <c r="AN53" i="30" s="1"/>
  <c r="AK50" i="30"/>
  <c r="E52" i="30"/>
  <c r="I56" i="30"/>
  <c r="AQ56" i="30" s="1"/>
  <c r="G54" i="30"/>
  <c r="AO54" i="30" s="1"/>
  <c r="H63" i="30"/>
  <c r="AP63" i="30" s="1"/>
  <c r="R73" i="30"/>
  <c r="AZ73" i="30" s="1"/>
  <c r="AX49" i="30"/>
  <c r="AX55" i="30"/>
  <c r="AX48" i="30"/>
  <c r="C88" i="30"/>
  <c r="E17" i="30"/>
  <c r="G28" i="30"/>
  <c r="C97" i="30"/>
  <c r="C57" i="31" s="1"/>
  <c r="G33" i="30"/>
  <c r="C102" i="30"/>
  <c r="C62" i="31" s="1"/>
  <c r="C106" i="30"/>
  <c r="C66" i="31" s="1"/>
  <c r="E35" i="30"/>
  <c r="J36" i="30"/>
  <c r="AW50" i="30"/>
  <c r="AW58" i="30"/>
  <c r="N61" i="30"/>
  <c r="AV61" i="30" s="1"/>
  <c r="N73" i="30"/>
  <c r="AV73" i="30" s="1"/>
  <c r="H67" i="30"/>
  <c r="AP67" i="30" s="1"/>
  <c r="G66" i="30"/>
  <c r="AO66" i="30" s="1"/>
  <c r="M72" i="30"/>
  <c r="AU72" i="30" s="1"/>
  <c r="E69" i="30"/>
  <c r="AM69" i="30" s="1"/>
  <c r="D68" i="30"/>
  <c r="F70" i="30"/>
  <c r="AN70" i="30" s="1"/>
  <c r="K16" i="30"/>
  <c r="F22" i="30"/>
  <c r="I25" i="30"/>
  <c r="E26" i="30"/>
  <c r="K27" i="30"/>
  <c r="I35" i="30"/>
  <c r="G56" i="30"/>
  <c r="D53" i="30"/>
  <c r="N63" i="30"/>
  <c r="AV63" i="30" s="1"/>
  <c r="M62" i="30"/>
  <c r="AU62" i="30" s="1"/>
  <c r="H57" i="30"/>
  <c r="AP57" i="30" s="1"/>
  <c r="O64" i="30"/>
  <c r="AW64" i="30" s="1"/>
  <c r="L73" i="30"/>
  <c r="AT73" i="30" s="1"/>
  <c r="J71" i="30"/>
  <c r="AR71" i="30" s="1"/>
  <c r="H69" i="30"/>
  <c r="AP69" i="30" s="1"/>
  <c r="F67" i="30"/>
  <c r="AN67" i="30" s="1"/>
  <c r="D65" i="30"/>
  <c r="G68" i="30"/>
  <c r="AO68" i="30" s="1"/>
  <c r="Q66" i="30"/>
  <c r="AY66" i="30" s="1"/>
  <c r="N56" i="30"/>
  <c r="AV56" i="30" s="1"/>
  <c r="K53" i="30"/>
  <c r="AS53" i="30" s="1"/>
  <c r="F48" i="30"/>
  <c r="AN48" i="30" s="1"/>
  <c r="Q59" i="30"/>
  <c r="AY59" i="30" s="1"/>
  <c r="M55" i="30"/>
  <c r="AU55" i="30" s="1"/>
  <c r="L54" i="30"/>
  <c r="AT54" i="30" s="1"/>
  <c r="H50" i="30"/>
  <c r="AP50" i="30" s="1"/>
  <c r="N57" i="30"/>
  <c r="AV57" i="30" s="1"/>
  <c r="M56" i="30"/>
  <c r="AU56" i="30" s="1"/>
  <c r="J53" i="30"/>
  <c r="AR53" i="30" s="1"/>
  <c r="Q60" i="30"/>
  <c r="AY60" i="30" s="1"/>
  <c r="G50" i="30"/>
  <c r="AO50" i="30" s="1"/>
  <c r="Q67" i="30"/>
  <c r="AY67" i="30" s="1"/>
  <c r="O65" i="30"/>
  <c r="AW65" i="30" s="1"/>
  <c r="M63" i="30"/>
  <c r="AU63" i="30" s="1"/>
  <c r="K61" i="30"/>
  <c r="AS61" i="30" s="1"/>
  <c r="I59" i="30"/>
  <c r="AQ59" i="30" s="1"/>
  <c r="E55" i="30"/>
  <c r="AM55" i="30" s="1"/>
  <c r="D54" i="30"/>
  <c r="AK53" i="30"/>
  <c r="P72" i="30"/>
  <c r="AX72" i="30" s="1"/>
  <c r="N70" i="30"/>
  <c r="AV70" i="30" s="1"/>
  <c r="L68" i="30"/>
  <c r="AT68" i="30" s="1"/>
  <c r="J66" i="30"/>
  <c r="AR66" i="30" s="1"/>
  <c r="H64" i="30"/>
  <c r="AP64" i="30" s="1"/>
  <c r="F62" i="30"/>
  <c r="AN62" i="30" s="1"/>
  <c r="D60" i="30"/>
  <c r="AK59" i="30"/>
  <c r="R60" i="30"/>
  <c r="AZ60" i="30" s="1"/>
  <c r="I65" i="30"/>
  <c r="AQ65" i="30" s="1"/>
  <c r="F72" i="30"/>
  <c r="D70" i="30"/>
  <c r="AK69" i="30"/>
  <c r="O71" i="30"/>
  <c r="AW71" i="30" s="1"/>
  <c r="O56" i="30"/>
  <c r="AW56" i="30" s="1"/>
  <c r="L53" i="30"/>
  <c r="AT53" i="30" s="1"/>
  <c r="R59" i="30"/>
  <c r="AZ59" i="30" s="1"/>
  <c r="N55" i="30"/>
  <c r="AV55" i="30" s="1"/>
  <c r="M54" i="30"/>
  <c r="AU54" i="30" s="1"/>
  <c r="I50" i="30"/>
  <c r="AQ50" i="30" s="1"/>
  <c r="P57" i="30"/>
  <c r="AX57" i="30" s="1"/>
  <c r="K52" i="30"/>
  <c r="AS52" i="30" s="1"/>
  <c r="D45" i="30"/>
  <c r="AL45" i="30" s="1"/>
  <c r="D46" i="30"/>
  <c r="M57" i="30"/>
  <c r="AU57" i="30" s="1"/>
  <c r="H52" i="30"/>
  <c r="AP52" i="30" s="1"/>
  <c r="N58" i="30"/>
  <c r="AV58" i="30" s="1"/>
  <c r="G51" i="30"/>
  <c r="AO51" i="30" s="1"/>
  <c r="C100" i="30"/>
  <c r="C60" i="31" s="1"/>
  <c r="E46" i="30"/>
  <c r="AM46" i="30" s="1"/>
  <c r="D47" i="30"/>
  <c r="H51" i="30"/>
  <c r="AP51" i="30" s="1"/>
  <c r="K55" i="30"/>
  <c r="AS55" i="30" s="1"/>
  <c r="AK61" i="30"/>
  <c r="Q61" i="30"/>
  <c r="AY61" i="30" s="1"/>
  <c r="R62" i="30"/>
  <c r="AZ62" i="30" s="1"/>
  <c r="N64" i="30"/>
  <c r="AV64" i="30" s="1"/>
  <c r="AK71" i="30"/>
  <c r="AR48" i="30"/>
  <c r="AR50" i="30"/>
  <c r="F54" i="30"/>
  <c r="AN54" i="30" s="1"/>
  <c r="G55" i="30"/>
  <c r="AO55" i="30" s="1"/>
  <c r="K59" i="30"/>
  <c r="AS59" i="30" s="1"/>
  <c r="G60" i="30"/>
  <c r="AO60" i="30" s="1"/>
  <c r="M61" i="30"/>
  <c r="AU61" i="30" s="1"/>
  <c r="I62" i="30"/>
  <c r="AQ62" i="30" s="1"/>
  <c r="E63" i="30"/>
  <c r="AM63" i="30" s="1"/>
  <c r="O63" i="30"/>
  <c r="AW63" i="30" s="1"/>
  <c r="K64" i="30"/>
  <c r="AS64" i="30" s="1"/>
  <c r="G65" i="30"/>
  <c r="AO65" i="30" s="1"/>
  <c r="Q65" i="30"/>
  <c r="AY65" i="30" s="1"/>
  <c r="M66" i="30"/>
  <c r="AU66" i="30" s="1"/>
  <c r="I67" i="30"/>
  <c r="AQ67" i="30" s="1"/>
  <c r="E68" i="30"/>
  <c r="AM68" i="30" s="1"/>
  <c r="O68" i="30"/>
  <c r="AW68" i="30" s="1"/>
  <c r="K69" i="30"/>
  <c r="AS69" i="30" s="1"/>
  <c r="G70" i="30"/>
  <c r="AO70" i="30" s="1"/>
  <c r="Q70" i="30"/>
  <c r="AY70" i="30" s="1"/>
  <c r="M71" i="30"/>
  <c r="AU71" i="30" s="1"/>
  <c r="I72" i="30"/>
  <c r="AQ72" i="30" s="1"/>
  <c r="E73" i="30"/>
  <c r="AM73" i="30" s="1"/>
  <c r="O73" i="30"/>
  <c r="AW73" i="30" s="1"/>
  <c r="G59" i="30"/>
  <c r="AO59" i="30" s="1"/>
  <c r="I61" i="30"/>
  <c r="AQ61" i="30" s="1"/>
  <c r="E62" i="30"/>
  <c r="AM62" i="30" s="1"/>
  <c r="K63" i="30"/>
  <c r="AS63" i="30" s="1"/>
  <c r="G64" i="30"/>
  <c r="AO64" i="30" s="1"/>
  <c r="M65" i="30"/>
  <c r="AU65" i="30" s="1"/>
  <c r="I66" i="30"/>
  <c r="AQ66" i="30" s="1"/>
  <c r="E67" i="30"/>
  <c r="AM67" i="30" s="1"/>
  <c r="O67" i="30"/>
  <c r="AW67" i="30" s="1"/>
  <c r="K68" i="30"/>
  <c r="AS68" i="30" s="1"/>
  <c r="G69" i="30"/>
  <c r="AO69" i="30" s="1"/>
  <c r="Q69" i="30"/>
  <c r="AY69" i="30" s="1"/>
  <c r="M70" i="30"/>
  <c r="AU70" i="30" s="1"/>
  <c r="I71" i="30"/>
  <c r="AQ71" i="30" s="1"/>
  <c r="D55" i="30"/>
  <c r="H59" i="30"/>
  <c r="AP59" i="30" s="1"/>
  <c r="N60" i="30"/>
  <c r="AV60" i="30" s="1"/>
  <c r="J61" i="30"/>
  <c r="AR61" i="30" s="1"/>
  <c r="P62" i="30"/>
  <c r="AX62" i="30" s="1"/>
  <c r="L63" i="30"/>
  <c r="AT63" i="30" s="1"/>
  <c r="R64" i="30"/>
  <c r="AZ64" i="30" s="1"/>
  <c r="N65" i="30"/>
  <c r="AV65" i="30" s="1"/>
  <c r="P67" i="30"/>
  <c r="AX67" i="30" s="1"/>
  <c r="E65" i="30"/>
  <c r="AM65" i="30" s="1"/>
  <c r="G67" i="30"/>
  <c r="AO67" i="30" s="1"/>
  <c r="I69" i="30"/>
  <c r="AQ69" i="30" s="1"/>
  <c r="E70" i="30"/>
  <c r="AM70" i="30" s="1"/>
  <c r="K71" i="30"/>
  <c r="AS71" i="30" s="1"/>
  <c r="C50" i="31" l="1"/>
  <c r="U50" i="31" s="1"/>
  <c r="C51" i="31"/>
  <c r="AE51" i="31" s="1"/>
  <c r="C52" i="31"/>
  <c r="AB52" i="31" s="1"/>
  <c r="C49" i="31"/>
  <c r="O49" i="31" s="1"/>
  <c r="C53" i="31"/>
  <c r="AF53" i="31" s="1"/>
  <c r="C54" i="31"/>
  <c r="S54" i="31" s="1"/>
  <c r="C43" i="31"/>
  <c r="V43" i="31" s="1"/>
  <c r="C47" i="31"/>
  <c r="V47" i="31" s="1"/>
  <c r="C45" i="31"/>
  <c r="N45" i="31" s="1"/>
  <c r="C42" i="31"/>
  <c r="M42" i="31" s="1"/>
  <c r="C44" i="31"/>
  <c r="P44" i="31" s="1"/>
  <c r="C48" i="31"/>
  <c r="AF48" i="31" s="1"/>
  <c r="C46" i="31"/>
  <c r="W46" i="31" s="1"/>
  <c r="C41" i="31"/>
  <c r="G41" i="31" s="1"/>
  <c r="O44" i="31"/>
  <c r="L42" i="31"/>
  <c r="X51" i="31"/>
  <c r="X48" i="31"/>
  <c r="X46" i="31"/>
  <c r="I41" i="31"/>
  <c r="X42" i="31"/>
  <c r="O42" i="31"/>
  <c r="AD50" i="31"/>
  <c r="AE48" i="31"/>
  <c r="T41" i="31"/>
  <c r="W48" i="31"/>
  <c r="Y42" i="31"/>
  <c r="V42" i="31"/>
  <c r="AJ52" i="31"/>
  <c r="AE52" i="31"/>
  <c r="AD52" i="31"/>
  <c r="AC50" i="31"/>
  <c r="AA50" i="31"/>
  <c r="K45" i="31"/>
  <c r="K44" i="31"/>
  <c r="AI56" i="31"/>
  <c r="Z56" i="31"/>
  <c r="V56" i="31"/>
  <c r="AJ56" i="31"/>
  <c r="W56" i="31"/>
  <c r="U56" i="31"/>
  <c r="X56" i="31"/>
  <c r="AK56" i="31"/>
  <c r="AB56" i="31"/>
  <c r="AL56" i="31"/>
  <c r="AN56" i="31"/>
  <c r="AC56" i="31"/>
  <c r="AM56" i="31"/>
  <c r="AD56" i="31"/>
  <c r="AA56" i="31"/>
  <c r="AH56" i="31"/>
  <c r="AE56" i="31"/>
  <c r="Y56" i="31"/>
  <c r="AG56" i="31"/>
  <c r="AF56" i="31"/>
  <c r="X53" i="31"/>
  <c r="AG50" i="31"/>
  <c r="AK53" i="31"/>
  <c r="W52" i="31"/>
  <c r="R45" i="31"/>
  <c r="W42" i="31"/>
  <c r="V44" i="31"/>
  <c r="Q50" i="31"/>
  <c r="X49" i="31"/>
  <c r="U49" i="31"/>
  <c r="AK54" i="31"/>
  <c r="AN69" i="31"/>
  <c r="AO69" i="31"/>
  <c r="AP69" i="31"/>
  <c r="AQ69" i="31"/>
  <c r="AR69" i="31"/>
  <c r="AM69" i="31"/>
  <c r="AH69" i="31"/>
  <c r="AJ69" i="31"/>
  <c r="AL69" i="31"/>
  <c r="AI69" i="31"/>
  <c r="AK69" i="31"/>
  <c r="AL65" i="31"/>
  <c r="AM65" i="31"/>
  <c r="AN65" i="31"/>
  <c r="AF65" i="31"/>
  <c r="AO65" i="31"/>
  <c r="AD65" i="31"/>
  <c r="AE65" i="31"/>
  <c r="AP65" i="31"/>
  <c r="AG65" i="31"/>
  <c r="AQ65" i="31"/>
  <c r="AK65" i="31"/>
  <c r="AH65" i="31"/>
  <c r="AR65" i="31"/>
  <c r="AJ65" i="31"/>
  <c r="AI65" i="31"/>
  <c r="W50" i="31"/>
  <c r="AA53" i="31"/>
  <c r="AB45" i="31"/>
  <c r="N47" i="31"/>
  <c r="Y50" i="31"/>
  <c r="AC45" i="31"/>
  <c r="U45" i="31"/>
  <c r="T51" i="31"/>
  <c r="AA51" i="31"/>
  <c r="AL54" i="31"/>
  <c r="Q45" i="31"/>
  <c r="AF63" i="31"/>
  <c r="AP63" i="31"/>
  <c r="AG63" i="31"/>
  <c r="AQ63" i="31"/>
  <c r="AH63" i="31"/>
  <c r="AR63" i="31"/>
  <c r="AI63" i="31"/>
  <c r="AJ63" i="31"/>
  <c r="AK63" i="31"/>
  <c r="AB63" i="31"/>
  <c r="AD63" i="31"/>
  <c r="AE63" i="31"/>
  <c r="AO63" i="31"/>
  <c r="AL63" i="31"/>
  <c r="AC63" i="31"/>
  <c r="AM63" i="31"/>
  <c r="AN63" i="31"/>
  <c r="AG58" i="31"/>
  <c r="AO58" i="31"/>
  <c r="AM58" i="31"/>
  <c r="AH58" i="31"/>
  <c r="AI58" i="31"/>
  <c r="Z58" i="31"/>
  <c r="AJ58" i="31"/>
  <c r="AK58" i="31"/>
  <c r="AB58" i="31"/>
  <c r="AL58" i="31"/>
  <c r="AN58" i="31"/>
  <c r="AF58" i="31"/>
  <c r="AP58" i="31"/>
  <c r="AC58" i="31"/>
  <c r="X58" i="31"/>
  <c r="AE58" i="31"/>
  <c r="W58" i="31"/>
  <c r="Y58" i="31"/>
  <c r="AD58" i="31"/>
  <c r="AA58" i="31"/>
  <c r="X50" i="31"/>
  <c r="AB54" i="31"/>
  <c r="S47" i="31"/>
  <c r="X52" i="31"/>
  <c r="M45" i="31"/>
  <c r="R50" i="31"/>
  <c r="V49" i="31"/>
  <c r="T44" i="31"/>
  <c r="S51" i="31"/>
  <c r="AB60" i="31"/>
  <c r="AL60" i="31"/>
  <c r="AC60" i="31"/>
  <c r="AM60" i="31"/>
  <c r="Y60" i="31"/>
  <c r="AD60" i="31"/>
  <c r="AN60" i="31"/>
  <c r="Z60" i="31"/>
  <c r="AE60" i="31"/>
  <c r="AO60" i="31"/>
  <c r="AF60" i="31"/>
  <c r="AP60" i="31"/>
  <c r="AG60" i="31"/>
  <c r="AR60" i="31"/>
  <c r="AK60" i="31"/>
  <c r="AA60" i="31"/>
  <c r="AH60" i="31"/>
  <c r="AQ60" i="31"/>
  <c r="AI60" i="31"/>
  <c r="AJ60" i="31"/>
  <c r="AJ66" i="31"/>
  <c r="AK66" i="31"/>
  <c r="AF66" i="31"/>
  <c r="AL66" i="31"/>
  <c r="AE66" i="31"/>
  <c r="AM66" i="31"/>
  <c r="AN66" i="31"/>
  <c r="AO66" i="31"/>
  <c r="AI66" i="31"/>
  <c r="AP66" i="31"/>
  <c r="AR66" i="31"/>
  <c r="AG66" i="31"/>
  <c r="AH66" i="31"/>
  <c r="AQ66" i="31"/>
  <c r="AH52" i="31"/>
  <c r="AF50" i="31"/>
  <c r="AE50" i="31"/>
  <c r="P47" i="31"/>
  <c r="AF59" i="31"/>
  <c r="AG59" i="31"/>
  <c r="AH59" i="31"/>
  <c r="AI59" i="31"/>
  <c r="Z59" i="31"/>
  <c r="AJ59" i="31"/>
  <c r="Y59" i="31"/>
  <c r="AK59" i="31"/>
  <c r="X59" i="31"/>
  <c r="AE59" i="31"/>
  <c r="AO59" i="31"/>
  <c r="AB59" i="31"/>
  <c r="AL59" i="31"/>
  <c r="AA59" i="31"/>
  <c r="AM59" i="31"/>
  <c r="AN59" i="31"/>
  <c r="AC59" i="31"/>
  <c r="AD59" i="31"/>
  <c r="AQ59" i="31"/>
  <c r="AP59" i="31"/>
  <c r="AN68" i="31"/>
  <c r="AG68" i="31"/>
  <c r="AO68" i="31"/>
  <c r="AP68" i="31"/>
  <c r="AQ68" i="31"/>
  <c r="AR68" i="31"/>
  <c r="AI68" i="31"/>
  <c r="AM68" i="31"/>
  <c r="AJ68" i="31"/>
  <c r="AH68" i="31"/>
  <c r="AK68" i="31"/>
  <c r="AL68" i="31"/>
  <c r="AN67" i="31"/>
  <c r="AG67" i="31"/>
  <c r="AO67" i="31"/>
  <c r="AF67" i="31"/>
  <c r="AP67" i="31"/>
  <c r="AQ67" i="31"/>
  <c r="AR67" i="31"/>
  <c r="AI67" i="31"/>
  <c r="AM67" i="31"/>
  <c r="AH67" i="31"/>
  <c r="AJ67" i="31"/>
  <c r="AK67" i="31"/>
  <c r="AL67" i="31"/>
  <c r="AJ55" i="31"/>
  <c r="W55" i="31"/>
  <c r="AK55" i="31"/>
  <c r="AB55" i="31"/>
  <c r="AL55" i="31"/>
  <c r="X55" i="31"/>
  <c r="U55" i="31"/>
  <c r="AC55" i="31"/>
  <c r="T55" i="31"/>
  <c r="AD55" i="31"/>
  <c r="AA55" i="31"/>
  <c r="AE55" i="31"/>
  <c r="AM55" i="31"/>
  <c r="Y55" i="31"/>
  <c r="AI55" i="31"/>
  <c r="V55" i="31"/>
  <c r="Z55" i="31"/>
  <c r="AF55" i="31"/>
  <c r="AG55" i="31"/>
  <c r="AH55" i="31"/>
  <c r="V53" i="31"/>
  <c r="AB47" i="31"/>
  <c r="Q42" i="31"/>
  <c r="P42" i="31"/>
  <c r="AC49" i="31"/>
  <c r="T48" i="31"/>
  <c r="P50" i="31"/>
  <c r="R51" i="31"/>
  <c r="Z53" i="31"/>
  <c r="T53" i="31"/>
  <c r="U53" i="31"/>
  <c r="S53" i="31"/>
  <c r="AD62" i="31"/>
  <c r="AE62" i="31"/>
  <c r="AF62" i="31"/>
  <c r="AM62" i="31"/>
  <c r="AG62" i="31"/>
  <c r="AN62" i="31"/>
  <c r="AH62" i="31"/>
  <c r="AO62" i="31"/>
  <c r="AI62" i="31"/>
  <c r="AC62" i="31"/>
  <c r="AP62" i="31"/>
  <c r="AJ62" i="31"/>
  <c r="AA62" i="31"/>
  <c r="AK62" i="31"/>
  <c r="AL62" i="31"/>
  <c r="AB62" i="31"/>
  <c r="AR62" i="31"/>
  <c r="AQ62" i="31"/>
  <c r="AP61" i="31"/>
  <c r="AD61" i="31"/>
  <c r="AA61" i="31"/>
  <c r="AQ61" i="31"/>
  <c r="AE61" i="31"/>
  <c r="Z61" i="31"/>
  <c r="AR61" i="31"/>
  <c r="AF61" i="31"/>
  <c r="AG61" i="31"/>
  <c r="AH61" i="31"/>
  <c r="AI61" i="31"/>
  <c r="AO61" i="31"/>
  <c r="AC61" i="31"/>
  <c r="AJ61" i="31"/>
  <c r="AL61" i="31"/>
  <c r="AM61" i="31"/>
  <c r="AB61" i="31"/>
  <c r="AN61" i="31"/>
  <c r="AK61" i="31"/>
  <c r="AM57" i="31"/>
  <c r="AH57" i="31"/>
  <c r="AI57" i="31"/>
  <c r="AO57" i="31"/>
  <c r="Z57" i="31"/>
  <c r="AJ57" i="31"/>
  <c r="AN57" i="31"/>
  <c r="AK57" i="31"/>
  <c r="AB57" i="31"/>
  <c r="AL57" i="31"/>
  <c r="X57" i="31"/>
  <c r="AC57" i="31"/>
  <c r="AG57" i="31"/>
  <c r="V57" i="31"/>
  <c r="AD57" i="31"/>
  <c r="AA57" i="31"/>
  <c r="W57" i="31"/>
  <c r="Y57" i="31"/>
  <c r="AF57" i="31"/>
  <c r="AE57" i="31"/>
  <c r="J42" i="31"/>
  <c r="I42" i="31"/>
  <c r="K42" i="31"/>
  <c r="Z42" i="31"/>
  <c r="W53" i="31"/>
  <c r="R48" i="31"/>
  <c r="T42" i="31"/>
  <c r="X45" i="31"/>
  <c r="H42" i="31"/>
  <c r="O50" i="31"/>
  <c r="AF54" i="31"/>
  <c r="V54" i="31"/>
  <c r="AD51" i="31"/>
  <c r="AI51" i="31"/>
  <c r="AL64" i="31"/>
  <c r="AM64" i="31"/>
  <c r="AN64" i="31"/>
  <c r="AE64" i="31"/>
  <c r="AO64" i="31"/>
  <c r="AF64" i="31"/>
  <c r="AP64" i="31"/>
  <c r="AC64" i="31"/>
  <c r="AD64" i="31"/>
  <c r="AG64" i="31"/>
  <c r="AQ64" i="31"/>
  <c r="AK64" i="31"/>
  <c r="AH64" i="31"/>
  <c r="AR64" i="31"/>
  <c r="AI64" i="31"/>
  <c r="AJ64" i="31"/>
  <c r="U44" i="31"/>
  <c r="L44" i="31"/>
  <c r="Q52" i="31"/>
  <c r="Y52" i="31"/>
  <c r="V45" i="31"/>
  <c r="S43" i="31"/>
  <c r="T50" i="31"/>
  <c r="S50" i="31"/>
  <c r="AB50" i="31"/>
  <c r="Z50" i="31"/>
  <c r="P45" i="31"/>
  <c r="Q44" i="31"/>
  <c r="D80" i="30"/>
  <c r="D81" i="30" s="1"/>
  <c r="D82" i="30" s="1"/>
  <c r="D83" i="30" s="1"/>
  <c r="D84" i="30" s="1"/>
  <c r="D85" i="30" s="1"/>
  <c r="D86" i="30" s="1"/>
  <c r="D87" i="30" s="1"/>
  <c r="D88" i="30" s="1"/>
  <c r="D89" i="30" s="1"/>
  <c r="D90" i="30" s="1"/>
  <c r="D91" i="30" s="1"/>
  <c r="D92" i="30" s="1"/>
  <c r="D93" i="30" s="1"/>
  <c r="D94" i="30" s="1"/>
  <c r="D95" i="30" s="1"/>
  <c r="D96" i="30" s="1"/>
  <c r="D97" i="30" s="1"/>
  <c r="D98" i="30" s="1"/>
  <c r="D99" i="30" s="1"/>
  <c r="D100" i="30" s="1"/>
  <c r="D101" i="30" s="1"/>
  <c r="D102" i="30" s="1"/>
  <c r="D103" i="30" s="1"/>
  <c r="D104" i="30" s="1"/>
  <c r="D105" i="30" s="1"/>
  <c r="D106" i="30" s="1"/>
  <c r="D107" i="30" s="1"/>
  <c r="D108" i="30" s="1"/>
  <c r="D109" i="30" s="1"/>
  <c r="X54" i="31"/>
  <c r="AG51" i="31"/>
  <c r="R42" i="31"/>
  <c r="Z48" i="31"/>
  <c r="U48" i="31"/>
  <c r="Z54" i="31"/>
  <c r="AH50" i="31"/>
  <c r="V50" i="31"/>
  <c r="Q51" i="31"/>
  <c r="AB51" i="31"/>
  <c r="AT29" i="31"/>
  <c r="AT32" i="31"/>
  <c r="BP67" i="30"/>
  <c r="BP57" i="30"/>
  <c r="BP44" i="30"/>
  <c r="BP66" i="30"/>
  <c r="BP45" i="30"/>
  <c r="BP48" i="30"/>
  <c r="AH46" i="30"/>
  <c r="BP59" i="30"/>
  <c r="BP69" i="30"/>
  <c r="AH65" i="30"/>
  <c r="AH49" i="30"/>
  <c r="AH47" i="30"/>
  <c r="AL63" i="30"/>
  <c r="BP63" i="30" s="1"/>
  <c r="AH63" i="30"/>
  <c r="AH70" i="30"/>
  <c r="AL52" i="30"/>
  <c r="AH52" i="30"/>
  <c r="AH57" i="30"/>
  <c r="AL61" i="30"/>
  <c r="BP61" i="30" s="1"/>
  <c r="AH61" i="30"/>
  <c r="AH67" i="30"/>
  <c r="AH56" i="30"/>
  <c r="AH66" i="30"/>
  <c r="AH68" i="30"/>
  <c r="AL62" i="30"/>
  <c r="BP62" i="30" s="1"/>
  <c r="AH62" i="30"/>
  <c r="AL64" i="30"/>
  <c r="BP64" i="30" s="1"/>
  <c r="AH64" i="30"/>
  <c r="AL71" i="30"/>
  <c r="BP71" i="30" s="1"/>
  <c r="AH71" i="30"/>
  <c r="AH55" i="30"/>
  <c r="AH54" i="30"/>
  <c r="AH53" i="30"/>
  <c r="AH69" i="30"/>
  <c r="AH48" i="30"/>
  <c r="AH45" i="30"/>
  <c r="AH59" i="30"/>
  <c r="AH73" i="30"/>
  <c r="AL50" i="30"/>
  <c r="BP50" i="30" s="1"/>
  <c r="AH50" i="30"/>
  <c r="AN72" i="30"/>
  <c r="BP72" i="30" s="1"/>
  <c r="AH72" i="30"/>
  <c r="AH60" i="30"/>
  <c r="AH51" i="30"/>
  <c r="AH58" i="30"/>
  <c r="AB10" i="30"/>
  <c r="AB9" i="30"/>
  <c r="AB24" i="30"/>
  <c r="AB11" i="30"/>
  <c r="AB20" i="30"/>
  <c r="AS58" i="30"/>
  <c r="BP58" i="30" s="1"/>
  <c r="AB27" i="30"/>
  <c r="AL68" i="30"/>
  <c r="BP68" i="30" s="1"/>
  <c r="AB14" i="30"/>
  <c r="AB12" i="30"/>
  <c r="AB16" i="30"/>
  <c r="AL70" i="30"/>
  <c r="BP70" i="30" s="1"/>
  <c r="AB18" i="30"/>
  <c r="AL73" i="30"/>
  <c r="BP73" i="30" s="1"/>
  <c r="AL65" i="30"/>
  <c r="BP65" i="30" s="1"/>
  <c r="AB19" i="30"/>
  <c r="AB21" i="30"/>
  <c r="AL53" i="30"/>
  <c r="BP53" i="30" s="1"/>
  <c r="AB26" i="30"/>
  <c r="AL49" i="30"/>
  <c r="BP49" i="30" s="1"/>
  <c r="AB33" i="30"/>
  <c r="AB22" i="30"/>
  <c r="AB13" i="30"/>
  <c r="AL51" i="30"/>
  <c r="BP51" i="30" s="1"/>
  <c r="AB30" i="30"/>
  <c r="AB23" i="30"/>
  <c r="AL47" i="30"/>
  <c r="BP47" i="30" s="1"/>
  <c r="AB29" i="30"/>
  <c r="AL46" i="30"/>
  <c r="BP46" i="30" s="1"/>
  <c r="AB35" i="30"/>
  <c r="AO56" i="30"/>
  <c r="BP56" i="30" s="1"/>
  <c r="AB36" i="30"/>
  <c r="AB17" i="30"/>
  <c r="AB25" i="30"/>
  <c r="AM52" i="30"/>
  <c r="AB32" i="30"/>
  <c r="AL55" i="30"/>
  <c r="BP55" i="30" s="1"/>
  <c r="AB28" i="30"/>
  <c r="AL60" i="30"/>
  <c r="BP60" i="30" s="1"/>
  <c r="AL54" i="30"/>
  <c r="BP54" i="30" s="1"/>
  <c r="AB31" i="30"/>
  <c r="AB15" i="30"/>
  <c r="AB34" i="30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9" i="24"/>
  <c r="L13" i="25"/>
  <c r="O12" i="25"/>
  <c r="P22" i="25"/>
  <c r="G70" i="25"/>
  <c r="F70" i="25"/>
  <c r="E70" i="25"/>
  <c r="D70" i="25"/>
  <c r="G69" i="25"/>
  <c r="H69" i="25" s="1"/>
  <c r="F69" i="25"/>
  <c r="E69" i="25"/>
  <c r="I69" i="25" s="1"/>
  <c r="D69" i="25"/>
  <c r="G68" i="25"/>
  <c r="H68" i="25" s="1"/>
  <c r="F68" i="25"/>
  <c r="E68" i="25"/>
  <c r="D68" i="25"/>
  <c r="H67" i="25"/>
  <c r="G67" i="25"/>
  <c r="F67" i="25"/>
  <c r="I67" i="25" s="1"/>
  <c r="E67" i="25"/>
  <c r="D67" i="25"/>
  <c r="G66" i="25"/>
  <c r="H66" i="25" s="1"/>
  <c r="I66" i="25" s="1"/>
  <c r="F66" i="25"/>
  <c r="E66" i="25"/>
  <c r="D66" i="25"/>
  <c r="G65" i="25"/>
  <c r="H65" i="25" s="1"/>
  <c r="F65" i="25"/>
  <c r="E65" i="25"/>
  <c r="I65" i="25" s="1"/>
  <c r="D65" i="25"/>
  <c r="G64" i="25"/>
  <c r="H64" i="25" s="1"/>
  <c r="F64" i="25"/>
  <c r="E64" i="25"/>
  <c r="I64" i="25" s="1"/>
  <c r="D64" i="25"/>
  <c r="H63" i="25"/>
  <c r="I63" i="25" s="1"/>
  <c r="G63" i="25"/>
  <c r="F63" i="25"/>
  <c r="E63" i="25"/>
  <c r="D63" i="25"/>
  <c r="G62" i="25"/>
  <c r="H62" i="25" s="1"/>
  <c r="F62" i="25"/>
  <c r="E62" i="25"/>
  <c r="I62" i="25" s="1"/>
  <c r="D62" i="25"/>
  <c r="G61" i="25"/>
  <c r="H61" i="25" s="1"/>
  <c r="F61" i="25"/>
  <c r="E61" i="25"/>
  <c r="D61" i="25"/>
  <c r="G60" i="25"/>
  <c r="H60" i="25" s="1"/>
  <c r="I60" i="25" s="1"/>
  <c r="F60" i="25"/>
  <c r="E60" i="25"/>
  <c r="D60" i="25"/>
  <c r="G59" i="25"/>
  <c r="H59" i="25" s="1"/>
  <c r="F59" i="25"/>
  <c r="E59" i="25"/>
  <c r="I59" i="25" s="1"/>
  <c r="D59" i="25"/>
  <c r="G58" i="25"/>
  <c r="H58" i="25" s="1"/>
  <c r="F58" i="25"/>
  <c r="E58" i="25"/>
  <c r="I58" i="25" s="1"/>
  <c r="D58" i="25"/>
  <c r="H57" i="25"/>
  <c r="G57" i="25"/>
  <c r="F57" i="25"/>
  <c r="I57" i="25" s="1"/>
  <c r="E57" i="25"/>
  <c r="D57" i="25"/>
  <c r="G56" i="25"/>
  <c r="H56" i="25" s="1"/>
  <c r="I56" i="25" s="1"/>
  <c r="F56" i="25"/>
  <c r="E56" i="25"/>
  <c r="D56" i="25"/>
  <c r="G55" i="25"/>
  <c r="H55" i="25" s="1"/>
  <c r="F55" i="25"/>
  <c r="E55" i="25"/>
  <c r="I55" i="25" s="1"/>
  <c r="D55" i="25"/>
  <c r="G54" i="25"/>
  <c r="H54" i="25" s="1"/>
  <c r="F54" i="25"/>
  <c r="E54" i="25"/>
  <c r="I54" i="25" s="1"/>
  <c r="D54" i="25"/>
  <c r="H53" i="25"/>
  <c r="I53" i="25" s="1"/>
  <c r="G53" i="25"/>
  <c r="F53" i="25"/>
  <c r="E53" i="25"/>
  <c r="D53" i="25"/>
  <c r="G52" i="25"/>
  <c r="H52" i="25" s="1"/>
  <c r="F52" i="25"/>
  <c r="E52" i="25"/>
  <c r="I52" i="25" s="1"/>
  <c r="D52" i="25"/>
  <c r="G51" i="25"/>
  <c r="H51" i="25" s="1"/>
  <c r="F51" i="25"/>
  <c r="E51" i="25"/>
  <c r="I51" i="25" s="1"/>
  <c r="D51" i="25"/>
  <c r="G50" i="25"/>
  <c r="H50" i="25" s="1"/>
  <c r="I50" i="25" s="1"/>
  <c r="F50" i="25"/>
  <c r="E50" i="25"/>
  <c r="D50" i="25"/>
  <c r="G49" i="25"/>
  <c r="H49" i="25" s="1"/>
  <c r="F49" i="25"/>
  <c r="E49" i="25"/>
  <c r="D49" i="25"/>
  <c r="G48" i="25"/>
  <c r="H48" i="25" s="1"/>
  <c r="F48" i="25"/>
  <c r="E48" i="25"/>
  <c r="I48" i="25" s="1"/>
  <c r="D48" i="25"/>
  <c r="H47" i="25"/>
  <c r="G47" i="25"/>
  <c r="F47" i="25"/>
  <c r="I47" i="25" s="1"/>
  <c r="E47" i="25"/>
  <c r="D47" i="25"/>
  <c r="I46" i="25"/>
  <c r="H46" i="25"/>
  <c r="G46" i="25"/>
  <c r="F46" i="25"/>
  <c r="E46" i="25"/>
  <c r="D46" i="25"/>
  <c r="H45" i="25"/>
  <c r="G45" i="25"/>
  <c r="F45" i="25"/>
  <c r="E45" i="25"/>
  <c r="I45" i="25" s="1"/>
  <c r="D45" i="25"/>
  <c r="G44" i="25"/>
  <c r="H44" i="25" s="1"/>
  <c r="F44" i="25"/>
  <c r="E44" i="25"/>
  <c r="I44" i="25" s="1"/>
  <c r="D44" i="25"/>
  <c r="H43" i="25"/>
  <c r="I43" i="25" s="1"/>
  <c r="K43" i="25" s="1"/>
  <c r="L43" i="25" s="1"/>
  <c r="G43" i="25"/>
  <c r="F43" i="25"/>
  <c r="E43" i="25"/>
  <c r="D43" i="25"/>
  <c r="G42" i="25"/>
  <c r="H42" i="25" s="1"/>
  <c r="F42" i="25"/>
  <c r="E42" i="25"/>
  <c r="D42" i="25"/>
  <c r="G41" i="25"/>
  <c r="H41" i="25" s="1"/>
  <c r="F41" i="25"/>
  <c r="E41" i="25"/>
  <c r="D41" i="25"/>
  <c r="AC46" i="31" l="1"/>
  <c r="T43" i="31"/>
  <c r="AC53" i="31"/>
  <c r="AB53" i="31"/>
  <c r="X41" i="31"/>
  <c r="AA44" i="31"/>
  <c r="AI53" i="31"/>
  <c r="X44" i="31"/>
  <c r="U54" i="31"/>
  <c r="AH53" i="31"/>
  <c r="N48" i="31"/>
  <c r="AC54" i="31"/>
  <c r="I44" i="31"/>
  <c r="M46" i="31"/>
  <c r="N44" i="31"/>
  <c r="AH54" i="31"/>
  <c r="U41" i="31"/>
  <c r="AG53" i="31"/>
  <c r="AI54" i="31"/>
  <c r="AB44" i="31"/>
  <c r="AB70" i="31" s="1"/>
  <c r="AB73" i="31" s="1"/>
  <c r="AB77" i="31" s="1"/>
  <c r="R53" i="31"/>
  <c r="J43" i="31"/>
  <c r="AE53" i="31"/>
  <c r="L41" i="31"/>
  <c r="Q43" i="31"/>
  <c r="S44" i="31"/>
  <c r="AD54" i="31"/>
  <c r="Y44" i="31"/>
  <c r="P43" i="31"/>
  <c r="Q48" i="31"/>
  <c r="Y48" i="31"/>
  <c r="AJ54" i="31"/>
  <c r="Z43" i="31"/>
  <c r="Y54" i="31"/>
  <c r="R43" i="31"/>
  <c r="O41" i="31"/>
  <c r="AC48" i="31"/>
  <c r="AC70" i="31" s="1"/>
  <c r="AC73" i="31" s="1"/>
  <c r="AC77" i="31" s="1"/>
  <c r="AC79" i="31" s="1"/>
  <c r="M41" i="31"/>
  <c r="W44" i="31"/>
  <c r="O46" i="31"/>
  <c r="U43" i="31"/>
  <c r="AJ53" i="31"/>
  <c r="AB48" i="31"/>
  <c r="AE49" i="31"/>
  <c r="Z44" i="31"/>
  <c r="AA43" i="31"/>
  <c r="V48" i="31"/>
  <c r="U42" i="31"/>
  <c r="O43" i="31"/>
  <c r="L43" i="31"/>
  <c r="AE54" i="31"/>
  <c r="T54" i="31"/>
  <c r="AA54" i="31"/>
  <c r="AD48" i="31"/>
  <c r="Y41" i="31"/>
  <c r="H43" i="31"/>
  <c r="S41" i="31"/>
  <c r="K43" i="31"/>
  <c r="AG54" i="31"/>
  <c r="P48" i="31"/>
  <c r="W54" i="31"/>
  <c r="Q46" i="31"/>
  <c r="AD53" i="31"/>
  <c r="M44" i="31"/>
  <c r="AD47" i="31"/>
  <c r="AD70" i="31" s="1"/>
  <c r="AD73" i="31" s="1"/>
  <c r="AD77" i="31" s="1"/>
  <c r="AD79" i="31" s="1"/>
  <c r="M43" i="31"/>
  <c r="AB46" i="31"/>
  <c r="R44" i="31"/>
  <c r="S48" i="31"/>
  <c r="J44" i="31"/>
  <c r="R47" i="31"/>
  <c r="L47" i="31"/>
  <c r="AB49" i="31"/>
  <c r="W45" i="31"/>
  <c r="Q47" i="31"/>
  <c r="S49" i="31"/>
  <c r="Z47" i="31"/>
  <c r="P41" i="31"/>
  <c r="K46" i="31"/>
  <c r="S52" i="31"/>
  <c r="F41" i="31"/>
  <c r="Z45" i="31"/>
  <c r="AD49" i="31"/>
  <c r="S45" i="31"/>
  <c r="P49" i="31"/>
  <c r="J45" i="31"/>
  <c r="R52" i="31"/>
  <c r="AA49" i="31"/>
  <c r="AG49" i="31"/>
  <c r="AG70" i="31" s="1"/>
  <c r="AG73" i="31" s="1"/>
  <c r="AG77" i="31" s="1"/>
  <c r="AG79" i="31" s="1"/>
  <c r="AG52" i="31"/>
  <c r="U47" i="31"/>
  <c r="AC52" i="31"/>
  <c r="V41" i="31"/>
  <c r="AF49" i="31"/>
  <c r="N41" i="31"/>
  <c r="M47" i="31"/>
  <c r="Y49" i="31"/>
  <c r="T52" i="31"/>
  <c r="H41" i="31"/>
  <c r="N46" i="31"/>
  <c r="V46" i="31"/>
  <c r="T45" i="31"/>
  <c r="L46" i="31"/>
  <c r="L45" i="31"/>
  <c r="AE47" i="31"/>
  <c r="AE70" i="31" s="1"/>
  <c r="AE73" i="31" s="1"/>
  <c r="AE77" i="31" s="1"/>
  <c r="AE79" i="31" s="1"/>
  <c r="Q41" i="31"/>
  <c r="Y45" i="31"/>
  <c r="U52" i="31"/>
  <c r="R46" i="31"/>
  <c r="Z46" i="31"/>
  <c r="S46" i="31"/>
  <c r="Y46" i="31"/>
  <c r="Q49" i="31"/>
  <c r="W41" i="31"/>
  <c r="T49" i="31"/>
  <c r="AI52" i="31"/>
  <c r="AI70" i="31" s="1"/>
  <c r="AI73" i="31" s="1"/>
  <c r="AI77" i="31" s="1"/>
  <c r="AI79" i="31" s="1"/>
  <c r="X43" i="31"/>
  <c r="N43" i="31"/>
  <c r="Z49" i="31"/>
  <c r="AH51" i="31"/>
  <c r="P51" i="31"/>
  <c r="G42" i="31"/>
  <c r="AA45" i="31"/>
  <c r="Z52" i="31"/>
  <c r="M48" i="31"/>
  <c r="W43" i="31"/>
  <c r="U51" i="31"/>
  <c r="O48" i="31"/>
  <c r="AA48" i="31"/>
  <c r="Y43" i="31"/>
  <c r="W51" i="31"/>
  <c r="R41" i="31"/>
  <c r="W47" i="31"/>
  <c r="AC47" i="31"/>
  <c r="O45" i="31"/>
  <c r="T47" i="31"/>
  <c r="N49" i="31"/>
  <c r="AA46" i="31"/>
  <c r="R49" i="31"/>
  <c r="AA52" i="31"/>
  <c r="Y47" i="31"/>
  <c r="I43" i="31"/>
  <c r="W49" i="31"/>
  <c r="Y53" i="31"/>
  <c r="T46" i="31"/>
  <c r="AF51" i="31"/>
  <c r="AF70" i="31" s="1"/>
  <c r="AF73" i="31" s="1"/>
  <c r="AF77" i="31" s="1"/>
  <c r="AF79" i="31" s="1"/>
  <c r="V52" i="31"/>
  <c r="V51" i="31"/>
  <c r="Y51" i="31"/>
  <c r="Y70" i="31" s="1"/>
  <c r="Y73" i="31" s="1"/>
  <c r="Y77" i="31" s="1"/>
  <c r="Y79" i="31" s="1"/>
  <c r="X47" i="31"/>
  <c r="N42" i="31"/>
  <c r="AD46" i="31"/>
  <c r="K41" i="31"/>
  <c r="P46" i="31"/>
  <c r="AF52" i="31"/>
  <c r="J41" i="31"/>
  <c r="U46" i="31"/>
  <c r="AA47" i="31"/>
  <c r="Z51" i="31"/>
  <c r="O47" i="31"/>
  <c r="AC51" i="31"/>
  <c r="S42" i="31"/>
  <c r="AN70" i="31"/>
  <c r="AN73" i="31" s="1"/>
  <c r="AN77" i="31" s="1"/>
  <c r="AN79" i="31" s="1"/>
  <c r="K40" i="31"/>
  <c r="E40" i="31"/>
  <c r="E70" i="31" s="1"/>
  <c r="U40" i="31"/>
  <c r="G40" i="31"/>
  <c r="G70" i="31" s="1"/>
  <c r="J40" i="31"/>
  <c r="O40" i="31"/>
  <c r="Q40" i="31"/>
  <c r="T40" i="31"/>
  <c r="F40" i="31"/>
  <c r="F70" i="31" s="1"/>
  <c r="I40" i="31"/>
  <c r="I70" i="31" s="1"/>
  <c r="L40" i="31"/>
  <c r="L70" i="31" s="1"/>
  <c r="R40" i="31"/>
  <c r="V40" i="31"/>
  <c r="N40" i="31"/>
  <c r="S40" i="31"/>
  <c r="M40" i="31"/>
  <c r="X40" i="31"/>
  <c r="P40" i="31"/>
  <c r="H40" i="31"/>
  <c r="W40" i="31"/>
  <c r="AK70" i="31"/>
  <c r="AK73" i="31" s="1"/>
  <c r="AK77" i="31" s="1"/>
  <c r="AK79" i="31" s="1"/>
  <c r="AL70" i="31"/>
  <c r="AL73" i="31" s="1"/>
  <c r="AL77" i="31" s="1"/>
  <c r="AL79" i="31" s="1"/>
  <c r="AQ70" i="31"/>
  <c r="AQ73" i="31" s="1"/>
  <c r="AQ77" i="31" s="1"/>
  <c r="AQ79" i="31" s="1"/>
  <c r="AM70" i="31"/>
  <c r="AM73" i="31" s="1"/>
  <c r="AM77" i="31" s="1"/>
  <c r="AJ70" i="31"/>
  <c r="AJ73" i="31" s="1"/>
  <c r="AJ77" i="31" s="1"/>
  <c r="AJ79" i="31" s="1"/>
  <c r="AP70" i="31"/>
  <c r="AP73" i="31" s="1"/>
  <c r="AP77" i="31" s="1"/>
  <c r="AP79" i="31" s="1"/>
  <c r="AO70" i="31"/>
  <c r="AO73" i="31" s="1"/>
  <c r="AO77" i="31" s="1"/>
  <c r="AO79" i="31" s="1"/>
  <c r="AR70" i="31"/>
  <c r="AR73" i="31" s="1"/>
  <c r="AR77" i="31" s="1"/>
  <c r="AR79" i="31" s="1"/>
  <c r="BP52" i="30"/>
  <c r="J54" i="25"/>
  <c r="K54" i="25"/>
  <c r="L54" i="25" s="1"/>
  <c r="K56" i="25"/>
  <c r="L56" i="25" s="1"/>
  <c r="J56" i="25"/>
  <c r="K63" i="25"/>
  <c r="L63" i="25" s="1"/>
  <c r="J63" i="25"/>
  <c r="K69" i="25"/>
  <c r="L69" i="25" s="1"/>
  <c r="J69" i="25"/>
  <c r="K59" i="25"/>
  <c r="L59" i="25" s="1"/>
  <c r="J59" i="25"/>
  <c r="K44" i="25"/>
  <c r="L44" i="25" s="1"/>
  <c r="J44" i="25"/>
  <c r="J52" i="25"/>
  <c r="K52" i="25"/>
  <c r="L52" i="25" s="1"/>
  <c r="J62" i="25"/>
  <c r="K62" i="25"/>
  <c r="L62" i="25" s="1"/>
  <c r="J47" i="25"/>
  <c r="K47" i="25"/>
  <c r="L47" i="25" s="1"/>
  <c r="K66" i="25"/>
  <c r="L66" i="25" s="1"/>
  <c r="J66" i="25"/>
  <c r="J41" i="25"/>
  <c r="K60" i="25"/>
  <c r="L60" i="25" s="1"/>
  <c r="J60" i="25"/>
  <c r="K57" i="25"/>
  <c r="L57" i="25" s="1"/>
  <c r="J57" i="25"/>
  <c r="K55" i="25"/>
  <c r="L55" i="25" s="1"/>
  <c r="J55" i="25"/>
  <c r="K50" i="25"/>
  <c r="L50" i="25" s="1"/>
  <c r="J50" i="25"/>
  <c r="M43" i="25"/>
  <c r="O43" i="25"/>
  <c r="P43" i="25" s="1"/>
  <c r="K64" i="25"/>
  <c r="L64" i="25" s="1"/>
  <c r="J64" i="25"/>
  <c r="K48" i="25"/>
  <c r="L48" i="25" s="1"/>
  <c r="J48" i="25"/>
  <c r="J67" i="25"/>
  <c r="K67" i="25"/>
  <c r="L67" i="25" s="1"/>
  <c r="K45" i="25"/>
  <c r="L45" i="25" s="1"/>
  <c r="J45" i="25"/>
  <c r="K65" i="25"/>
  <c r="L65" i="25" s="1"/>
  <c r="J65" i="25"/>
  <c r="K46" i="25"/>
  <c r="L46" i="25" s="1"/>
  <c r="J46" i="25"/>
  <c r="K51" i="25"/>
  <c r="L51" i="25" s="1"/>
  <c r="J51" i="25"/>
  <c r="K58" i="25"/>
  <c r="L58" i="25" s="1"/>
  <c r="J58" i="25"/>
  <c r="K53" i="25"/>
  <c r="L53" i="25" s="1"/>
  <c r="J53" i="25"/>
  <c r="I42" i="25"/>
  <c r="J43" i="25"/>
  <c r="I49" i="25"/>
  <c r="I61" i="25"/>
  <c r="I68" i="25"/>
  <c r="H70" i="25"/>
  <c r="I70" i="25" s="1"/>
  <c r="AB79" i="31" l="1"/>
  <c r="AB80" i="31"/>
  <c r="AH70" i="31"/>
  <c r="AH73" i="31" s="1"/>
  <c r="AH77" i="31" s="1"/>
  <c r="AH79" i="31" s="1"/>
  <c r="AA70" i="31"/>
  <c r="AA73" i="31" s="1"/>
  <c r="AA77" i="31" s="1"/>
  <c r="Z70" i="31"/>
  <c r="Z73" i="31" s="1"/>
  <c r="Z77" i="31" s="1"/>
  <c r="Z79" i="31" s="1"/>
  <c r="Q70" i="31"/>
  <c r="M70" i="31"/>
  <c r="O70" i="31"/>
  <c r="X70" i="31"/>
  <c r="X73" i="31" s="1"/>
  <c r="X77" i="31" s="1"/>
  <c r="X79" i="31" s="1"/>
  <c r="S70" i="31"/>
  <c r="J70" i="31"/>
  <c r="AN80" i="31"/>
  <c r="W70" i="31"/>
  <c r="W73" i="31" s="1"/>
  <c r="W77" i="31" s="1"/>
  <c r="W79" i="31" s="1"/>
  <c r="V70" i="31"/>
  <c r="V73" i="31" s="1"/>
  <c r="V77" i="31" s="1"/>
  <c r="V79" i="31" s="1"/>
  <c r="U70" i="31"/>
  <c r="U73" i="31" s="1"/>
  <c r="U77" i="31" s="1"/>
  <c r="U79" i="31" s="1"/>
  <c r="H70" i="31"/>
  <c r="N70" i="31"/>
  <c r="R70" i="31"/>
  <c r="K70" i="31"/>
  <c r="P70" i="31"/>
  <c r="T70" i="31"/>
  <c r="T73" i="31" s="1"/>
  <c r="T77" i="31" s="1"/>
  <c r="T79" i="31" s="1"/>
  <c r="AD80" i="31"/>
  <c r="Y80" i="31"/>
  <c r="AI80" i="31"/>
  <c r="AJ80" i="31"/>
  <c r="AF80" i="31"/>
  <c r="AK80" i="31"/>
  <c r="U80" i="31"/>
  <c r="AL80" i="31"/>
  <c r="AG80" i="31"/>
  <c r="AP80" i="31"/>
  <c r="AC80" i="31"/>
  <c r="AQ80" i="31"/>
  <c r="AE80" i="31"/>
  <c r="AM79" i="31"/>
  <c r="AM80" i="31"/>
  <c r="W80" i="31"/>
  <c r="AO80" i="31"/>
  <c r="AR80" i="31"/>
  <c r="AH80" i="31"/>
  <c r="J70" i="25"/>
  <c r="K70" i="25"/>
  <c r="L70" i="25" s="1"/>
  <c r="N53" i="25"/>
  <c r="M53" i="25"/>
  <c r="O53" i="25"/>
  <c r="P53" i="25" s="1"/>
  <c r="O59" i="25"/>
  <c r="P59" i="25" s="1"/>
  <c r="N59" i="25"/>
  <c r="M59" i="25"/>
  <c r="O55" i="25"/>
  <c r="P55" i="25" s="1"/>
  <c r="N55" i="25"/>
  <c r="M55" i="25"/>
  <c r="M51" i="25"/>
  <c r="O51" i="25"/>
  <c r="P51" i="25" s="1"/>
  <c r="N51" i="25"/>
  <c r="M60" i="25"/>
  <c r="O60" i="25"/>
  <c r="P60" i="25" s="1"/>
  <c r="N60" i="25"/>
  <c r="M56" i="25"/>
  <c r="O56" i="25"/>
  <c r="P56" i="25" s="1"/>
  <c r="N56" i="25"/>
  <c r="O50" i="25"/>
  <c r="P50" i="25" s="1"/>
  <c r="M50" i="25"/>
  <c r="O47" i="25"/>
  <c r="P47" i="25" s="1"/>
  <c r="N47" i="25"/>
  <c r="M47" i="25"/>
  <c r="M69" i="25"/>
  <c r="O69" i="25"/>
  <c r="P69" i="25" s="1"/>
  <c r="K68" i="25"/>
  <c r="L68" i="25" s="1"/>
  <c r="J68" i="25"/>
  <c r="O62" i="25"/>
  <c r="P62" i="25" s="1"/>
  <c r="M62" i="25"/>
  <c r="J61" i="25"/>
  <c r="K61" i="25"/>
  <c r="L61" i="25" s="1"/>
  <c r="N62" i="25" s="1"/>
  <c r="O57" i="25"/>
  <c r="P57" i="25" s="1"/>
  <c r="N57" i="25"/>
  <c r="M57" i="25"/>
  <c r="N64" i="25"/>
  <c r="M64" i="25"/>
  <c r="O64" i="25"/>
  <c r="P64" i="25" s="1"/>
  <c r="O65" i="25"/>
  <c r="P65" i="25" s="1"/>
  <c r="N65" i="25"/>
  <c r="M65" i="25"/>
  <c r="N54" i="25"/>
  <c r="M54" i="25"/>
  <c r="O54" i="25"/>
  <c r="P54" i="25" s="1"/>
  <c r="O45" i="25"/>
  <c r="P45" i="25" s="1"/>
  <c r="M45" i="25"/>
  <c r="N45" i="25"/>
  <c r="O67" i="25"/>
  <c r="P67" i="25" s="1"/>
  <c r="N67" i="25"/>
  <c r="M67" i="25"/>
  <c r="O66" i="25"/>
  <c r="P66" i="25" s="1"/>
  <c r="N66" i="25"/>
  <c r="M66" i="25"/>
  <c r="O58" i="25"/>
  <c r="P58" i="25" s="1"/>
  <c r="N58" i="25"/>
  <c r="M58" i="25"/>
  <c r="O48" i="25"/>
  <c r="P48" i="25" s="1"/>
  <c r="N48" i="25"/>
  <c r="M48" i="25"/>
  <c r="N63" i="25"/>
  <c r="O63" i="25"/>
  <c r="P63" i="25" s="1"/>
  <c r="M63" i="25"/>
  <c r="K49" i="25"/>
  <c r="L49" i="25" s="1"/>
  <c r="J49" i="25"/>
  <c r="M46" i="25"/>
  <c r="O46" i="25"/>
  <c r="P46" i="25" s="1"/>
  <c r="N46" i="25"/>
  <c r="O52" i="25"/>
  <c r="P52" i="25" s="1"/>
  <c r="M52" i="25"/>
  <c r="N52" i="25"/>
  <c r="J42" i="25"/>
  <c r="K42" i="25"/>
  <c r="L42" i="25" s="1"/>
  <c r="M41" i="25"/>
  <c r="N41" i="25" s="1"/>
  <c r="O41" i="25"/>
  <c r="P41" i="25" s="1"/>
  <c r="N44" i="25"/>
  <c r="M44" i="25"/>
  <c r="O44" i="25"/>
  <c r="P44" i="25" s="1"/>
  <c r="AT70" i="31" l="1"/>
  <c r="AA79" i="31"/>
  <c r="AA80" i="31" s="1"/>
  <c r="X80" i="31"/>
  <c r="Z80" i="31"/>
  <c r="T80" i="31"/>
  <c r="V80" i="31"/>
  <c r="O68" i="25"/>
  <c r="P68" i="25" s="1"/>
  <c r="N68" i="25"/>
  <c r="M68" i="25"/>
  <c r="N69" i="25"/>
  <c r="O42" i="25"/>
  <c r="P42" i="25" s="1"/>
  <c r="N42" i="25"/>
  <c r="M42" i="25"/>
  <c r="N43" i="25"/>
  <c r="N49" i="25"/>
  <c r="M49" i="25"/>
  <c r="O49" i="25"/>
  <c r="P49" i="25" s="1"/>
  <c r="M61" i="25"/>
  <c r="O61" i="25"/>
  <c r="P61" i="25" s="1"/>
  <c r="N61" i="25"/>
  <c r="N50" i="25"/>
  <c r="O70" i="25"/>
  <c r="P70" i="25" s="1"/>
  <c r="M70" i="25"/>
  <c r="N70" i="25"/>
  <c r="H30" i="25" l="1"/>
  <c r="I30" i="25" s="1"/>
  <c r="G30" i="25"/>
  <c r="F30" i="25"/>
  <c r="E30" i="25"/>
  <c r="H29" i="25"/>
  <c r="G29" i="25"/>
  <c r="F29" i="25"/>
  <c r="E29" i="25"/>
  <c r="I29" i="25" s="1"/>
  <c r="H28" i="25"/>
  <c r="G28" i="25"/>
  <c r="F28" i="25"/>
  <c r="I28" i="25" s="1"/>
  <c r="E28" i="25"/>
  <c r="I27" i="25"/>
  <c r="K27" i="25" s="1"/>
  <c r="L27" i="25" s="1"/>
  <c r="H27" i="25"/>
  <c r="G27" i="25"/>
  <c r="F27" i="25"/>
  <c r="E27" i="25"/>
  <c r="H26" i="25"/>
  <c r="G26" i="25"/>
  <c r="F26" i="25"/>
  <c r="E26" i="25"/>
  <c r="I26" i="25" s="1"/>
  <c r="H25" i="25"/>
  <c r="G25" i="25"/>
  <c r="F25" i="25"/>
  <c r="E25" i="25"/>
  <c r="I25" i="25" s="1"/>
  <c r="H24" i="25"/>
  <c r="I24" i="25" s="1"/>
  <c r="G24" i="25"/>
  <c r="F24" i="25"/>
  <c r="E24" i="25"/>
  <c r="K23" i="25"/>
  <c r="L23" i="25" s="1"/>
  <c r="I23" i="25"/>
  <c r="J23" i="25" s="1"/>
  <c r="H23" i="25"/>
  <c r="G23" i="25"/>
  <c r="F23" i="25"/>
  <c r="E23" i="25"/>
  <c r="H22" i="25"/>
  <c r="G22" i="25"/>
  <c r="F22" i="25"/>
  <c r="E22" i="25"/>
  <c r="I22" i="25" s="1"/>
  <c r="H21" i="25"/>
  <c r="G21" i="25"/>
  <c r="F21" i="25"/>
  <c r="E21" i="25"/>
  <c r="I21" i="25" s="1"/>
  <c r="H20" i="25"/>
  <c r="I20" i="25" s="1"/>
  <c r="G20" i="25"/>
  <c r="F20" i="25"/>
  <c r="E20" i="25"/>
  <c r="H19" i="25"/>
  <c r="G19" i="25"/>
  <c r="F19" i="25"/>
  <c r="E19" i="25"/>
  <c r="I19" i="25" s="1"/>
  <c r="H18" i="25"/>
  <c r="G18" i="25"/>
  <c r="F18" i="25"/>
  <c r="E18" i="25"/>
  <c r="I18" i="25" s="1"/>
  <c r="I17" i="25"/>
  <c r="J17" i="25" s="1"/>
  <c r="H17" i="25"/>
  <c r="G17" i="25"/>
  <c r="F17" i="25"/>
  <c r="E17" i="25"/>
  <c r="H16" i="25"/>
  <c r="G16" i="25"/>
  <c r="F16" i="25"/>
  <c r="E16" i="25"/>
  <c r="I16" i="25" s="1"/>
  <c r="H15" i="25"/>
  <c r="G15" i="25"/>
  <c r="F15" i="25"/>
  <c r="E15" i="25"/>
  <c r="I15" i="25" s="1"/>
  <c r="H14" i="25"/>
  <c r="I14" i="25" s="1"/>
  <c r="G14" i="25"/>
  <c r="F14" i="25"/>
  <c r="E14" i="25"/>
  <c r="K13" i="25"/>
  <c r="I13" i="25"/>
  <c r="J13" i="25" s="1"/>
  <c r="H13" i="25"/>
  <c r="G13" i="25"/>
  <c r="F13" i="25"/>
  <c r="E13" i="25"/>
  <c r="H12" i="25"/>
  <c r="G12" i="25"/>
  <c r="F12" i="25"/>
  <c r="E12" i="25"/>
  <c r="I12" i="25" s="1"/>
  <c r="J11" i="25"/>
  <c r="F1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O23" i="25" l="1"/>
  <c r="M23" i="25"/>
  <c r="K14" i="25"/>
  <c r="L14" i="25" s="1"/>
  <c r="J14" i="25"/>
  <c r="K22" i="25"/>
  <c r="L22" i="25" s="1"/>
  <c r="J22" i="25"/>
  <c r="J18" i="25"/>
  <c r="K18" i="25"/>
  <c r="L18" i="25" s="1"/>
  <c r="J20" i="25"/>
  <c r="K20" i="25"/>
  <c r="L20" i="25" s="1"/>
  <c r="M11" i="25"/>
  <c r="N11" i="25" s="1"/>
  <c r="O11" i="25"/>
  <c r="P11" i="25" s="1"/>
  <c r="M13" i="25"/>
  <c r="O13" i="25"/>
  <c r="K21" i="25"/>
  <c r="L21" i="25" s="1"/>
  <c r="J21" i="25"/>
  <c r="K12" i="25"/>
  <c r="L12" i="25" s="1"/>
  <c r="N13" i="25" s="1"/>
  <c r="J12" i="25"/>
  <c r="K15" i="25"/>
  <c r="L15" i="25" s="1"/>
  <c r="J15" i="25"/>
  <c r="J29" i="25"/>
  <c r="K29" i="25"/>
  <c r="L29" i="25" s="1"/>
  <c r="K24" i="25"/>
  <c r="L24" i="25" s="1"/>
  <c r="J24" i="25"/>
  <c r="K25" i="25"/>
  <c r="L25" i="25" s="1"/>
  <c r="J25" i="25"/>
  <c r="K16" i="25"/>
  <c r="L16" i="25" s="1"/>
  <c r="J16" i="25"/>
  <c r="M27" i="25"/>
  <c r="O27" i="25"/>
  <c r="J19" i="25"/>
  <c r="K19" i="25"/>
  <c r="L19" i="25" s="1"/>
  <c r="K26" i="25"/>
  <c r="L26" i="25" s="1"/>
  <c r="J26" i="25"/>
  <c r="K28" i="25"/>
  <c r="L28" i="25" s="1"/>
  <c r="J28" i="25"/>
  <c r="J30" i="25"/>
  <c r="K30" i="25"/>
  <c r="L30" i="25" s="1"/>
  <c r="J27" i="25"/>
  <c r="K17" i="25"/>
  <c r="L17" i="25" s="1"/>
  <c r="O16" i="25" l="1"/>
  <c r="N16" i="25"/>
  <c r="M16" i="25"/>
  <c r="M18" i="25"/>
  <c r="O18" i="25"/>
  <c r="N18" i="25"/>
  <c r="N21" i="25"/>
  <c r="M21" i="25"/>
  <c r="O21" i="25"/>
  <c r="O14" i="25"/>
  <c r="N14" i="25"/>
  <c r="M14" i="25"/>
  <c r="N12" i="25"/>
  <c r="M12" i="25"/>
  <c r="M28" i="25"/>
  <c r="O28" i="25"/>
  <c r="N28" i="25"/>
  <c r="O25" i="25"/>
  <c r="N25" i="25"/>
  <c r="M25" i="25"/>
  <c r="N26" i="25"/>
  <c r="M26" i="25"/>
  <c r="O26" i="25"/>
  <c r="N22" i="25"/>
  <c r="O22" i="25"/>
  <c r="M22" i="25"/>
  <c r="O19" i="25"/>
  <c r="N19" i="25"/>
  <c r="M19" i="25"/>
  <c r="O24" i="25"/>
  <c r="N24" i="25"/>
  <c r="M24" i="25"/>
  <c r="Q13" i="25"/>
  <c r="P13" i="25"/>
  <c r="N29" i="25"/>
  <c r="M29" i="25"/>
  <c r="O29" i="25"/>
  <c r="M17" i="25"/>
  <c r="O17" i="25"/>
  <c r="N17" i="25"/>
  <c r="N27" i="25"/>
  <c r="N23" i="25"/>
  <c r="P27" i="25"/>
  <c r="Q27" i="25"/>
  <c r="O30" i="25"/>
  <c r="N30" i="25"/>
  <c r="M30" i="25"/>
  <c r="N15" i="25"/>
  <c r="M15" i="25"/>
  <c r="O15" i="25"/>
  <c r="N20" i="25"/>
  <c r="M20" i="25"/>
  <c r="O20" i="25"/>
  <c r="P23" i="25"/>
  <c r="Q25" i="25" l="1"/>
  <c r="P25" i="25"/>
  <c r="Q22" i="25"/>
  <c r="Q23" i="25"/>
  <c r="Q12" i="25"/>
  <c r="P12" i="25"/>
  <c r="P17" i="25"/>
  <c r="Q17" i="25"/>
  <c r="Q14" i="25"/>
  <c r="P14" i="25"/>
  <c r="Q28" i="25"/>
  <c r="P28" i="25"/>
  <c r="Q30" i="25"/>
  <c r="P30" i="25"/>
  <c r="Q18" i="25"/>
  <c r="P18" i="25"/>
  <c r="Q20" i="25"/>
  <c r="P20" i="25"/>
  <c r="P26" i="25"/>
  <c r="Q26" i="25"/>
  <c r="Q21" i="25"/>
  <c r="P21" i="25"/>
  <c r="Q29" i="25"/>
  <c r="P29" i="25"/>
  <c r="Q19" i="25"/>
  <c r="P19" i="25"/>
  <c r="Q15" i="25"/>
  <c r="P15" i="25"/>
  <c r="Q24" i="25"/>
  <c r="P24" i="25"/>
  <c r="Q16" i="25"/>
  <c r="P16" i="25"/>
  <c r="C14" i="24" l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12" i="24"/>
  <c r="C11" i="24" s="1"/>
  <c r="C10" i="24" s="1"/>
  <c r="C9" i="24" s="1"/>
  <c r="G9" i="24"/>
  <c r="G10" i="24" s="1"/>
  <c r="G11" i="24" l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35" i="24" s="1"/>
  <c r="G36" i="24" s="1"/>
  <c r="G37" i="24" s="1"/>
  <c r="G38" i="24" s="1"/>
  <c r="G39" i="24" s="1"/>
  <c r="G40" i="24" s="1"/>
  <c r="G41" i="24" s="1"/>
  <c r="G42" i="24" s="1"/>
  <c r="G43" i="24" s="1"/>
  <c r="G44" i="24" s="1"/>
  <c r="G45" i="24" s="1"/>
  <c r="G46" i="24" s="1"/>
  <c r="G47" i="24" s="1"/>
  <c r="G48" i="24" s="1"/>
  <c r="AE13" i="30" l="1"/>
  <c r="AE17" i="30"/>
  <c r="AE14" i="30"/>
  <c r="AE35" i="30"/>
  <c r="AE28" i="30"/>
  <c r="AE10" i="30"/>
  <c r="AE31" i="30"/>
  <c r="AE18" i="30"/>
  <c r="AE24" i="30"/>
  <c r="AE32" i="30"/>
  <c r="AE30" i="30"/>
  <c r="AE12" i="30"/>
  <c r="AE29" i="30"/>
  <c r="AE23" i="30"/>
  <c r="AE33" i="30"/>
  <c r="AE9" i="30"/>
  <c r="BD9" i="30" s="1"/>
  <c r="E82" i="30" s="1"/>
  <c r="AE15" i="30"/>
  <c r="AE11" i="30"/>
  <c r="AE19" i="30"/>
  <c r="AE21" i="30"/>
  <c r="AE8" i="30"/>
  <c r="AE7" i="30"/>
  <c r="AE20" i="30"/>
  <c r="AE34" i="30"/>
  <c r="AE27" i="30"/>
  <c r="AE25" i="30"/>
  <c r="AE26" i="30"/>
  <c r="AL13" i="30"/>
  <c r="AL12" i="30"/>
  <c r="AL35" i="30"/>
  <c r="AL16" i="30"/>
  <c r="AL7" i="30"/>
  <c r="AL9" i="30"/>
  <c r="AL11" i="30"/>
  <c r="AL25" i="30"/>
  <c r="AL21" i="30"/>
  <c r="AL23" i="30"/>
  <c r="AL26" i="30"/>
  <c r="AL14" i="30"/>
  <c r="AL22" i="30"/>
  <c r="AL27" i="30"/>
  <c r="AL30" i="30"/>
  <c r="AL8" i="30"/>
  <c r="AL17" i="30"/>
  <c r="AL24" i="30"/>
  <c r="AL15" i="30"/>
  <c r="AL33" i="30"/>
  <c r="AL34" i="30"/>
  <c r="AL32" i="30"/>
  <c r="AL31" i="30"/>
  <c r="AL10" i="30"/>
  <c r="AL20" i="30"/>
  <c r="AL19" i="30"/>
  <c r="AL29" i="30"/>
  <c r="AL28" i="30"/>
  <c r="AL36" i="30"/>
  <c r="AL18" i="30"/>
  <c r="AF26" i="30"/>
  <c r="AF15" i="30"/>
  <c r="AF17" i="30"/>
  <c r="AF7" i="30"/>
  <c r="AF29" i="30"/>
  <c r="AF25" i="30"/>
  <c r="AF8" i="30"/>
  <c r="AF35" i="30"/>
  <c r="AF13" i="30"/>
  <c r="AF11" i="30"/>
  <c r="AF9" i="30"/>
  <c r="AF31" i="30"/>
  <c r="AF20" i="30"/>
  <c r="AF32" i="30"/>
  <c r="AF12" i="30"/>
  <c r="AF34" i="30"/>
  <c r="AF23" i="30"/>
  <c r="AF10" i="30"/>
  <c r="AF18" i="30"/>
  <c r="AF30" i="30"/>
  <c r="AF16" i="30"/>
  <c r="AF24" i="30"/>
  <c r="AF14" i="30"/>
  <c r="AF21" i="30"/>
  <c r="AF28" i="30"/>
  <c r="AF27" i="30"/>
  <c r="AF33" i="30"/>
  <c r="AF22" i="30"/>
  <c r="AF36" i="30"/>
  <c r="AF19" i="30"/>
  <c r="AI10" i="30"/>
  <c r="AI28" i="30"/>
  <c r="AI23" i="30"/>
  <c r="AI27" i="30"/>
  <c r="AI25" i="30"/>
  <c r="AI24" i="30"/>
  <c r="AI19" i="30"/>
  <c r="AI9" i="30"/>
  <c r="AI22" i="30"/>
  <c r="AI29" i="30"/>
  <c r="AI33" i="30"/>
  <c r="AI8" i="30"/>
  <c r="AI32" i="30"/>
  <c r="AI11" i="30"/>
  <c r="AI16" i="30"/>
  <c r="AI12" i="30"/>
  <c r="AI17" i="30"/>
  <c r="AI34" i="30"/>
  <c r="AI15" i="30"/>
  <c r="AI21" i="30"/>
  <c r="AI31" i="30"/>
  <c r="AI20" i="30"/>
  <c r="AI7" i="30"/>
  <c r="AI35" i="30"/>
  <c r="AI14" i="30"/>
  <c r="AI26" i="30"/>
  <c r="AI30" i="30"/>
  <c r="AI13" i="30"/>
  <c r="AI36" i="30"/>
  <c r="AI18" i="30"/>
  <c r="AM34" i="30"/>
  <c r="AM16" i="30"/>
  <c r="AM11" i="30"/>
  <c r="AM28" i="30"/>
  <c r="AM7" i="30"/>
  <c r="AM32" i="30"/>
  <c r="AM14" i="30"/>
  <c r="AM10" i="30"/>
  <c r="AM23" i="30"/>
  <c r="AM30" i="30"/>
  <c r="AM19" i="30"/>
  <c r="AM12" i="30"/>
  <c r="AM33" i="30"/>
  <c r="AM15" i="30"/>
  <c r="AM29" i="30"/>
  <c r="AM35" i="30"/>
  <c r="AM22" i="30"/>
  <c r="AM17" i="30"/>
  <c r="AM18" i="30"/>
  <c r="AM20" i="30"/>
  <c r="AM13" i="30"/>
  <c r="AM9" i="30"/>
  <c r="AM21" i="30"/>
  <c r="AM25" i="30"/>
  <c r="AM26" i="30"/>
  <c r="AM31" i="30"/>
  <c r="AM8" i="30"/>
  <c r="AM27" i="30"/>
  <c r="AM36" i="30"/>
  <c r="AM24" i="30"/>
  <c r="AG11" i="30"/>
  <c r="AG12" i="30"/>
  <c r="AG24" i="30"/>
  <c r="AG32" i="30"/>
  <c r="AG25" i="30"/>
  <c r="AG30" i="30"/>
  <c r="AG14" i="30"/>
  <c r="AG9" i="30"/>
  <c r="AG15" i="30"/>
  <c r="AG17" i="30"/>
  <c r="AG13" i="30"/>
  <c r="AG23" i="30"/>
  <c r="AG7" i="30"/>
  <c r="AG27" i="30"/>
  <c r="AG10" i="30"/>
  <c r="AG26" i="30"/>
  <c r="AG21" i="30"/>
  <c r="AG33" i="30"/>
  <c r="AG20" i="30"/>
  <c r="AG31" i="30"/>
  <c r="AG34" i="30"/>
  <c r="AG18" i="30"/>
  <c r="AG8" i="30"/>
  <c r="AG35" i="30"/>
  <c r="AG29" i="30"/>
  <c r="AG22" i="30"/>
  <c r="AG16" i="30"/>
  <c r="AG28" i="30"/>
  <c r="AG36" i="30"/>
  <c r="AG19" i="30"/>
  <c r="AH34" i="30"/>
  <c r="AH20" i="30"/>
  <c r="AH35" i="30"/>
  <c r="AH22" i="30"/>
  <c r="AH32" i="30"/>
  <c r="AH26" i="30"/>
  <c r="AH31" i="30"/>
  <c r="AH27" i="30"/>
  <c r="AH8" i="30"/>
  <c r="AH18" i="30"/>
  <c r="AH21" i="30"/>
  <c r="AH28" i="30"/>
  <c r="AH7" i="30"/>
  <c r="AH25" i="30"/>
  <c r="AH9" i="30"/>
  <c r="AH19" i="30"/>
  <c r="AH16" i="30"/>
  <c r="AH33" i="30"/>
  <c r="AH11" i="30"/>
  <c r="AH24" i="30"/>
  <c r="AH15" i="30"/>
  <c r="AH29" i="30"/>
  <c r="AH12" i="30"/>
  <c r="AH13" i="30"/>
  <c r="AH30" i="30"/>
  <c r="AH14" i="30"/>
  <c r="AH17" i="30"/>
  <c r="AH23" i="30"/>
  <c r="AH36" i="30"/>
  <c r="AH10" i="30"/>
  <c r="AJ35" i="30"/>
  <c r="AJ33" i="30"/>
  <c r="AJ28" i="30"/>
  <c r="AJ30" i="30"/>
  <c r="AJ24" i="30"/>
  <c r="AJ11" i="30"/>
  <c r="AJ34" i="30"/>
  <c r="AJ14" i="30"/>
  <c r="AJ22" i="30"/>
  <c r="AJ32" i="30"/>
  <c r="AJ26" i="30"/>
  <c r="AJ21" i="30"/>
  <c r="AJ10" i="30"/>
  <c r="AJ9" i="30"/>
  <c r="AJ18" i="30"/>
  <c r="AJ12" i="30"/>
  <c r="AJ23" i="30"/>
  <c r="AJ7" i="30"/>
  <c r="AJ15" i="30"/>
  <c r="AJ8" i="30"/>
  <c r="AJ31" i="30"/>
  <c r="AJ25" i="30"/>
  <c r="AJ13" i="30"/>
  <c r="AJ16" i="30"/>
  <c r="AJ27" i="30"/>
  <c r="AJ20" i="30"/>
  <c r="AJ29" i="30"/>
  <c r="AJ17" i="30"/>
  <c r="AJ36" i="30"/>
  <c r="AJ19" i="30"/>
  <c r="AK15" i="30"/>
  <c r="AK11" i="30"/>
  <c r="AK7" i="30"/>
  <c r="AK32" i="30"/>
  <c r="AK23" i="30"/>
  <c r="AK20" i="30"/>
  <c r="AK35" i="30"/>
  <c r="AK8" i="30"/>
  <c r="AK28" i="30"/>
  <c r="AK30" i="30"/>
  <c r="AK12" i="30"/>
  <c r="AK31" i="30"/>
  <c r="AK9" i="30"/>
  <c r="AK14" i="30"/>
  <c r="AK17" i="30"/>
  <c r="AK16" i="30"/>
  <c r="AK34" i="30"/>
  <c r="AK27" i="30"/>
  <c r="AK22" i="30"/>
  <c r="AK25" i="30"/>
  <c r="AK21" i="30"/>
  <c r="AK18" i="30"/>
  <c r="AK29" i="30"/>
  <c r="AK26" i="30"/>
  <c r="AK13" i="30"/>
  <c r="AK33" i="30"/>
  <c r="AK19" i="30"/>
  <c r="AK10" i="30"/>
  <c r="AK36" i="30"/>
  <c r="AK24" i="30"/>
  <c r="AN11" i="30"/>
  <c r="AN30" i="30"/>
  <c r="AN14" i="30"/>
  <c r="AN17" i="30"/>
  <c r="AN9" i="30"/>
  <c r="AN34" i="30"/>
  <c r="AN16" i="30"/>
  <c r="AN21" i="30"/>
  <c r="AN20" i="30"/>
  <c r="AN27" i="30"/>
  <c r="AN10" i="30"/>
  <c r="AN33" i="30"/>
  <c r="AN18" i="30"/>
  <c r="AN12" i="30"/>
  <c r="AN29" i="30"/>
  <c r="AN35" i="30"/>
  <c r="AN22" i="30"/>
  <c r="AN13" i="30"/>
  <c r="AN7" i="30"/>
  <c r="AN19" i="30"/>
  <c r="AN15" i="30"/>
  <c r="AN32" i="30"/>
  <c r="AN25" i="30"/>
  <c r="AN26" i="30"/>
  <c r="AN8" i="30"/>
  <c r="AN28" i="30"/>
  <c r="AN24" i="30"/>
  <c r="AN31" i="30"/>
  <c r="AN36" i="30"/>
  <c r="AN23" i="30"/>
  <c r="AO21" i="30"/>
  <c r="AO15" i="30"/>
  <c r="AO29" i="30"/>
  <c r="AO33" i="30"/>
  <c r="AO25" i="30"/>
  <c r="AO32" i="30"/>
  <c r="AO26" i="30"/>
  <c r="AO35" i="30"/>
  <c r="AO8" i="30"/>
  <c r="AO24" i="30"/>
  <c r="AO7" i="30"/>
  <c r="AO17" i="30"/>
  <c r="AO27" i="30"/>
  <c r="AO9" i="30"/>
  <c r="AO18" i="30"/>
  <c r="AO28" i="30"/>
  <c r="AO23" i="30"/>
  <c r="AO31" i="30"/>
  <c r="AO19" i="30"/>
  <c r="AO30" i="30"/>
  <c r="AO34" i="30"/>
  <c r="AO11" i="30"/>
  <c r="AO22" i="30"/>
  <c r="AO10" i="30"/>
  <c r="AO13" i="30"/>
  <c r="AO16" i="30"/>
  <c r="AO12" i="30"/>
  <c r="AO14" i="30"/>
  <c r="AO36" i="30"/>
  <c r="AO20" i="30"/>
  <c r="AU16" i="30"/>
  <c r="AU35" i="30"/>
  <c r="AU31" i="30"/>
  <c r="AU33" i="30"/>
  <c r="AU10" i="30"/>
  <c r="AU28" i="30"/>
  <c r="AU27" i="30"/>
  <c r="AU29" i="30"/>
  <c r="AU11" i="30"/>
  <c r="AU21" i="30"/>
  <c r="AU32" i="30"/>
  <c r="AU13" i="30"/>
  <c r="AU24" i="30"/>
  <c r="AU22" i="30"/>
  <c r="AU25" i="30"/>
  <c r="AU7" i="30"/>
  <c r="AU9" i="30"/>
  <c r="AU8" i="30"/>
  <c r="AU15" i="30"/>
  <c r="AU23" i="30"/>
  <c r="AU18" i="30"/>
  <c r="AU20" i="30"/>
  <c r="AU26" i="30"/>
  <c r="AU12" i="30"/>
  <c r="AU30" i="30"/>
  <c r="AU17" i="30"/>
  <c r="AU19" i="30"/>
  <c r="AU14" i="30"/>
  <c r="AU36" i="30"/>
  <c r="AU34" i="30"/>
  <c r="AT16" i="30"/>
  <c r="AT17" i="30"/>
  <c r="AT34" i="30"/>
  <c r="AT20" i="30"/>
  <c r="AT29" i="30"/>
  <c r="AT27" i="30"/>
  <c r="AT11" i="30"/>
  <c r="AT24" i="30"/>
  <c r="AT26" i="30"/>
  <c r="AT35" i="30"/>
  <c r="AT8" i="30"/>
  <c r="AT19" i="30"/>
  <c r="AT14" i="30"/>
  <c r="AT28" i="30"/>
  <c r="AT31" i="30"/>
  <c r="AT33" i="30"/>
  <c r="AT18" i="30"/>
  <c r="AT7" i="30"/>
  <c r="AT22" i="30"/>
  <c r="AT30" i="30"/>
  <c r="AT12" i="30"/>
  <c r="AT21" i="30"/>
  <c r="AT9" i="30"/>
  <c r="AT25" i="30"/>
  <c r="AT23" i="30"/>
  <c r="AT32" i="30"/>
  <c r="AT15" i="30"/>
  <c r="AT10" i="30"/>
  <c r="AT36" i="30"/>
  <c r="AT13" i="30"/>
  <c r="AS18" i="30"/>
  <c r="AS26" i="30"/>
  <c r="AS9" i="30"/>
  <c r="AS19" i="30"/>
  <c r="AS14" i="30"/>
  <c r="AS15" i="30"/>
  <c r="AS35" i="30"/>
  <c r="AS24" i="30"/>
  <c r="AS27" i="30"/>
  <c r="AS22" i="30"/>
  <c r="AS12" i="30"/>
  <c r="AS21" i="30"/>
  <c r="AS25" i="30"/>
  <c r="AS20" i="30"/>
  <c r="AS7" i="30"/>
  <c r="AS8" i="30"/>
  <c r="AS33" i="30"/>
  <c r="AS31" i="30"/>
  <c r="AS30" i="30"/>
  <c r="AS16" i="30"/>
  <c r="AS23" i="30"/>
  <c r="AS10" i="30"/>
  <c r="AS11" i="30"/>
  <c r="AS32" i="30"/>
  <c r="AS29" i="30"/>
  <c r="AS13" i="30"/>
  <c r="AS28" i="30"/>
  <c r="AS34" i="30"/>
  <c r="AS36" i="30"/>
  <c r="AS17" i="30"/>
  <c r="AR30" i="30"/>
  <c r="AR28" i="30"/>
  <c r="AR33" i="30"/>
  <c r="AR13" i="30"/>
  <c r="AR8" i="30"/>
  <c r="AR29" i="30"/>
  <c r="AR31" i="30"/>
  <c r="AR24" i="30"/>
  <c r="AR7" i="30"/>
  <c r="AR16" i="30"/>
  <c r="AR26" i="30"/>
  <c r="AR14" i="30"/>
  <c r="AR12" i="30"/>
  <c r="AR27" i="30"/>
  <c r="AR15" i="30"/>
  <c r="AR11" i="30"/>
  <c r="AR9" i="30"/>
  <c r="AR35" i="30"/>
  <c r="AR32" i="30"/>
  <c r="AR34" i="30"/>
  <c r="AR22" i="30"/>
  <c r="AR20" i="30"/>
  <c r="AR19" i="30"/>
  <c r="AR23" i="30"/>
  <c r="AR18" i="30"/>
  <c r="AR17" i="30"/>
  <c r="AR21" i="30"/>
  <c r="AR10" i="30"/>
  <c r="AR36" i="30"/>
  <c r="AR25" i="30"/>
  <c r="AQ22" i="30"/>
  <c r="AQ32" i="30"/>
  <c r="AQ10" i="30"/>
  <c r="AQ7" i="30"/>
  <c r="AQ8" i="30"/>
  <c r="AQ12" i="30"/>
  <c r="AQ19" i="30"/>
  <c r="AQ11" i="30"/>
  <c r="AQ27" i="30"/>
  <c r="AQ13" i="30"/>
  <c r="AQ33" i="30"/>
  <c r="AQ23" i="30"/>
  <c r="AQ16" i="30"/>
  <c r="AQ14" i="30"/>
  <c r="AQ30" i="30"/>
  <c r="AQ29" i="30"/>
  <c r="AQ24" i="30"/>
  <c r="AQ34" i="30"/>
  <c r="AQ26" i="30"/>
  <c r="AQ18" i="30"/>
  <c r="AQ20" i="30"/>
  <c r="AQ28" i="30"/>
  <c r="AQ21" i="30"/>
  <c r="AQ15" i="30"/>
  <c r="AQ25" i="30"/>
  <c r="AQ35" i="30"/>
  <c r="AQ31" i="30"/>
  <c r="AQ9" i="30"/>
  <c r="AQ36" i="30"/>
  <c r="AQ17" i="30"/>
  <c r="AX15" i="30"/>
  <c r="AX10" i="30"/>
  <c r="AX32" i="30"/>
  <c r="AX13" i="30"/>
  <c r="AX31" i="30"/>
  <c r="AX21" i="30"/>
  <c r="AX30" i="30"/>
  <c r="AX9" i="30"/>
  <c r="AX28" i="30"/>
  <c r="AX24" i="30"/>
  <c r="AX18" i="30"/>
  <c r="AX22" i="30"/>
  <c r="AX12" i="30"/>
  <c r="AX16" i="30"/>
  <c r="AX35" i="30"/>
  <c r="AX17" i="30"/>
  <c r="AX11" i="30"/>
  <c r="AX29" i="30"/>
  <c r="AX14" i="30"/>
  <c r="AX33" i="30"/>
  <c r="AX27" i="30"/>
  <c r="AX34" i="30"/>
  <c r="AX26" i="30"/>
  <c r="AX20" i="30"/>
  <c r="AX8" i="30"/>
  <c r="AX19" i="30"/>
  <c r="AX7" i="30"/>
  <c r="AX25" i="30"/>
  <c r="AX36" i="30"/>
  <c r="AX23" i="30"/>
  <c r="AW15" i="30"/>
  <c r="AW10" i="30"/>
  <c r="AW29" i="30"/>
  <c r="AW26" i="30"/>
  <c r="AW13" i="30"/>
  <c r="AW25" i="30"/>
  <c r="AW32" i="30"/>
  <c r="AW27" i="30"/>
  <c r="AW30" i="30"/>
  <c r="AW22" i="30"/>
  <c r="AW21" i="30"/>
  <c r="AW23" i="30"/>
  <c r="AW33" i="30"/>
  <c r="AW20" i="30"/>
  <c r="AW8" i="30"/>
  <c r="AW24" i="30"/>
  <c r="AW35" i="30"/>
  <c r="AW9" i="30"/>
  <c r="AW7" i="30"/>
  <c r="AW17" i="30"/>
  <c r="AW16" i="30"/>
  <c r="AW18" i="30"/>
  <c r="AW19" i="30"/>
  <c r="AW12" i="30"/>
  <c r="AW34" i="30"/>
  <c r="AW14" i="30"/>
  <c r="AW11" i="30"/>
  <c r="AW28" i="30"/>
  <c r="AW36" i="30"/>
  <c r="AW31" i="30"/>
  <c r="AV35" i="30"/>
  <c r="AV22" i="30"/>
  <c r="AV23" i="30"/>
  <c r="AV29" i="30"/>
  <c r="AV19" i="30"/>
  <c r="AV34" i="30"/>
  <c r="AV28" i="30"/>
  <c r="AV24" i="30"/>
  <c r="AV18" i="30"/>
  <c r="AV21" i="30"/>
  <c r="AV25" i="30"/>
  <c r="AV15" i="30"/>
  <c r="AV9" i="30"/>
  <c r="AV12" i="30"/>
  <c r="AV32" i="30"/>
  <c r="AV30" i="30"/>
  <c r="AV10" i="30"/>
  <c r="AV7" i="30"/>
  <c r="AV17" i="30"/>
  <c r="AV13" i="30"/>
  <c r="AV16" i="30"/>
  <c r="AV8" i="30"/>
  <c r="AV31" i="30"/>
  <c r="AV20" i="30"/>
  <c r="AV11" i="30"/>
  <c r="AV27" i="30"/>
  <c r="AV33" i="30"/>
  <c r="AV14" i="30"/>
  <c r="AV36" i="30"/>
  <c r="AV26" i="30"/>
  <c r="AP14" i="30"/>
  <c r="AP23" i="30"/>
  <c r="AP9" i="30"/>
  <c r="AP34" i="30"/>
  <c r="AP25" i="30"/>
  <c r="AP16" i="30"/>
  <c r="AP7" i="30"/>
  <c r="AP33" i="30"/>
  <c r="AP21" i="30"/>
  <c r="AP32" i="30"/>
  <c r="AP15" i="30"/>
  <c r="AP29" i="30"/>
  <c r="AP35" i="30"/>
  <c r="AP26" i="30"/>
  <c r="AP19" i="30"/>
  <c r="AP30" i="30"/>
  <c r="AP22" i="30"/>
  <c r="AP18" i="30"/>
  <c r="AP27" i="30"/>
  <c r="AP8" i="30"/>
  <c r="AP10" i="30"/>
  <c r="AP28" i="30"/>
  <c r="AP13" i="30"/>
  <c r="AP20" i="30"/>
  <c r="AP17" i="30"/>
  <c r="AP31" i="30"/>
  <c r="AP11" i="30"/>
  <c r="AP24" i="30"/>
  <c r="AP36" i="30"/>
  <c r="AP12" i="30"/>
  <c r="AE22" i="30"/>
  <c r="AE36" i="30"/>
  <c r="AE16" i="30"/>
  <c r="BD25" i="30" l="1"/>
  <c r="BD27" i="30"/>
  <c r="BD35" i="30"/>
  <c r="BD22" i="30"/>
  <c r="BD11" i="30"/>
  <c r="BD18" i="30"/>
  <c r="BD26" i="30"/>
  <c r="E99" i="30" s="1"/>
  <c r="BD15" i="30"/>
  <c r="E88" i="30" s="1"/>
  <c r="BD31" i="30"/>
  <c r="BD7" i="30"/>
  <c r="E80" i="30" s="1"/>
  <c r="F80" i="30" s="1"/>
  <c r="G80" i="30" s="1"/>
  <c r="E37" i="31" s="1"/>
  <c r="BD12" i="30"/>
  <c r="BD17" i="30"/>
  <c r="BD33" i="30"/>
  <c r="BD20" i="30"/>
  <c r="BD8" i="30"/>
  <c r="E81" i="30" s="1"/>
  <c r="BD30" i="30"/>
  <c r="BD13" i="30"/>
  <c r="BD10" i="30"/>
  <c r="BD34" i="30"/>
  <c r="BD29" i="30"/>
  <c r="BD21" i="30"/>
  <c r="BD32" i="30"/>
  <c r="BD28" i="30"/>
  <c r="BD23" i="30"/>
  <c r="BD14" i="30"/>
  <c r="BD16" i="30"/>
  <c r="BD36" i="30"/>
  <c r="E109" i="30" s="1"/>
  <c r="BD19" i="30"/>
  <c r="BD24" i="30"/>
  <c r="F81" i="30" l="1"/>
  <c r="G81" i="30" s="1"/>
  <c r="F37" i="31" s="1"/>
  <c r="F73" i="31" s="1"/>
  <c r="F77" i="31" s="1"/>
  <c r="F79" i="31" s="1"/>
  <c r="F80" i="31" s="1"/>
  <c r="F82" i="30"/>
  <c r="G82" i="30" s="1"/>
  <c r="G37" i="31" s="1"/>
  <c r="G73" i="31" s="1"/>
  <c r="G77" i="31" s="1"/>
  <c r="E101" i="30"/>
  <c r="E108" i="30"/>
  <c r="F108" i="30" s="1"/>
  <c r="E94" i="30"/>
  <c r="E95" i="30"/>
  <c r="F95" i="30" s="1"/>
  <c r="E93" i="30"/>
  <c r="E98" i="30"/>
  <c r="E90" i="30"/>
  <c r="E97" i="30"/>
  <c r="E84" i="30"/>
  <c r="E89" i="30"/>
  <c r="F89" i="30" s="1"/>
  <c r="G89" i="30" s="1"/>
  <c r="N37" i="31" s="1"/>
  <c r="N73" i="31" s="1"/>
  <c r="N77" i="31" s="1"/>
  <c r="E85" i="30"/>
  <c r="F85" i="30" s="1"/>
  <c r="G85" i="30" s="1"/>
  <c r="J37" i="31" s="1"/>
  <c r="J73" i="31" s="1"/>
  <c r="J77" i="31" s="1"/>
  <c r="E105" i="30"/>
  <c r="E91" i="30"/>
  <c r="E92" i="30"/>
  <c r="F92" i="30" s="1"/>
  <c r="G92" i="30" s="1"/>
  <c r="Q37" i="31" s="1"/>
  <c r="Q73" i="31" s="1"/>
  <c r="Q77" i="31" s="1"/>
  <c r="E104" i="30"/>
  <c r="E103" i="30"/>
  <c r="E96" i="30"/>
  <c r="E107" i="30"/>
  <c r="E83" i="30"/>
  <c r="F83" i="30" s="1"/>
  <c r="G83" i="30" s="1"/>
  <c r="H37" i="31" s="1"/>
  <c r="H73" i="31" s="1"/>
  <c r="H77" i="31" s="1"/>
  <c r="E87" i="30"/>
  <c r="E106" i="30"/>
  <c r="E102" i="30"/>
  <c r="E86" i="30"/>
  <c r="E100" i="30"/>
  <c r="F100" i="30" s="1"/>
  <c r="F102" i="30" l="1"/>
  <c r="F105" i="30"/>
  <c r="F97" i="30"/>
  <c r="F93" i="30"/>
  <c r="G93" i="30" s="1"/>
  <c r="R37" i="31" s="1"/>
  <c r="R73" i="31" s="1"/>
  <c r="R77" i="31" s="1"/>
  <c r="R79" i="31" s="1"/>
  <c r="F101" i="30"/>
  <c r="F87" i="30"/>
  <c r="G87" i="30" s="1"/>
  <c r="L37" i="31" s="1"/>
  <c r="L73" i="31" s="1"/>
  <c r="L77" i="31" s="1"/>
  <c r="L79" i="31" s="1"/>
  <c r="L80" i="31" s="1"/>
  <c r="F96" i="30"/>
  <c r="F106" i="30"/>
  <c r="N79" i="31"/>
  <c r="N80" i="31"/>
  <c r="J79" i="31"/>
  <c r="J80" i="31" s="1"/>
  <c r="G79" i="31"/>
  <c r="G80" i="31"/>
  <c r="Q79" i="31"/>
  <c r="Q80" i="31" s="1"/>
  <c r="H79" i="31"/>
  <c r="H80" i="31"/>
  <c r="F84" i="30"/>
  <c r="G84" i="30" s="1"/>
  <c r="I37" i="31" s="1"/>
  <c r="I73" i="31" s="1"/>
  <c r="I77" i="31" s="1"/>
  <c r="F107" i="30"/>
  <c r="F90" i="30"/>
  <c r="G90" i="30" s="1"/>
  <c r="O37" i="31" s="1"/>
  <c r="O73" i="31" s="1"/>
  <c r="O77" i="31" s="1"/>
  <c r="F109" i="30"/>
  <c r="F103" i="30"/>
  <c r="F98" i="30"/>
  <c r="F99" i="30"/>
  <c r="F104" i="30"/>
  <c r="F88" i="30"/>
  <c r="G88" i="30" s="1"/>
  <c r="M37" i="31" s="1"/>
  <c r="M73" i="31" s="1"/>
  <c r="M77" i="31" s="1"/>
  <c r="F86" i="30"/>
  <c r="G86" i="30" s="1"/>
  <c r="K37" i="31" s="1"/>
  <c r="K73" i="31" s="1"/>
  <c r="K77" i="31" s="1"/>
  <c r="F91" i="30"/>
  <c r="G91" i="30" s="1"/>
  <c r="P37" i="31" s="1"/>
  <c r="P73" i="31" s="1"/>
  <c r="P77" i="31" s="1"/>
  <c r="F94" i="30"/>
  <c r="E111" i="30"/>
  <c r="R80" i="31" l="1"/>
  <c r="K79" i="31"/>
  <c r="K80" i="31"/>
  <c r="P79" i="31"/>
  <c r="P80" i="31" s="1"/>
  <c r="I79" i="31"/>
  <c r="I80" i="31"/>
  <c r="M79" i="31"/>
  <c r="M80" i="31" s="1"/>
  <c r="G94" i="30"/>
  <c r="S37" i="31" s="1"/>
  <c r="S73" i="31" s="1"/>
  <c r="S77" i="31" s="1"/>
  <c r="C5" i="32" s="1" a="1"/>
  <c r="E112" i="30"/>
  <c r="O79" i="31"/>
  <c r="O80" i="31"/>
  <c r="AT37" i="31" l="1"/>
  <c r="AT73" i="31"/>
  <c r="E80" i="31"/>
  <c r="C5" i="32"/>
  <c r="J31" i="32"/>
  <c r="J32" i="32"/>
  <c r="J11" i="32"/>
  <c r="J33" i="32"/>
  <c r="J12" i="32"/>
  <c r="J34" i="32"/>
  <c r="J13" i="32"/>
  <c r="J41" i="32"/>
  <c r="J14" i="32"/>
  <c r="J42" i="32"/>
  <c r="J21" i="32"/>
  <c r="J22" i="32"/>
  <c r="J24" i="32"/>
  <c r="J43" i="32"/>
  <c r="J44" i="32"/>
  <c r="J23" i="32"/>
  <c r="J26" i="32"/>
  <c r="J16" i="32"/>
  <c r="J40" i="32"/>
  <c r="J6" i="32"/>
  <c r="J30" i="32"/>
  <c r="J20" i="32"/>
  <c r="J38" i="32"/>
  <c r="J10" i="32"/>
  <c r="J28" i="32"/>
  <c r="J35" i="32"/>
  <c r="J39" i="32"/>
  <c r="J18" i="32"/>
  <c r="J37" i="32"/>
  <c r="J25" i="32"/>
  <c r="J29" i="32"/>
  <c r="J8" i="32"/>
  <c r="J27" i="32"/>
  <c r="J15" i="32"/>
  <c r="J19" i="32"/>
  <c r="J17" i="32"/>
  <c r="J9" i="32"/>
  <c r="J7" i="32"/>
  <c r="J36" i="32"/>
  <c r="S79" i="31"/>
  <c r="AT79" i="31" s="1"/>
  <c r="S80" i="31"/>
  <c r="AT77" i="31"/>
  <c r="D5" i="32" a="1"/>
  <c r="D5" i="32" l="1"/>
  <c r="L33" i="32"/>
  <c r="L39" i="32"/>
  <c r="N39" i="32" s="1"/>
  <c r="O39" i="32" s="1"/>
  <c r="L18" i="32"/>
  <c r="N18" i="32" s="1"/>
  <c r="O18" i="32" s="1"/>
  <c r="L37" i="32"/>
  <c r="N37" i="32" s="1"/>
  <c r="O37" i="32" s="1"/>
  <c r="L15" i="32"/>
  <c r="N15" i="32" s="1"/>
  <c r="O15" i="32" s="1"/>
  <c r="L44" i="32"/>
  <c r="N44" i="32" s="1"/>
  <c r="O44" i="32" s="1"/>
  <c r="L23" i="32"/>
  <c r="N23" i="32" s="1"/>
  <c r="O23" i="32" s="1"/>
  <c r="L29" i="32"/>
  <c r="N29" i="32" s="1"/>
  <c r="O29" i="32" s="1"/>
  <c r="L8" i="32"/>
  <c r="N8" i="32" s="1"/>
  <c r="O8" i="32" s="1"/>
  <c r="L27" i="32"/>
  <c r="L34" i="32"/>
  <c r="L13" i="32"/>
  <c r="N13" i="32" s="1"/>
  <c r="O13" i="32" s="1"/>
  <c r="L19" i="32"/>
  <c r="N19" i="32" s="1"/>
  <c r="O19" i="32" s="1"/>
  <c r="L17" i="32"/>
  <c r="N17" i="32" s="1"/>
  <c r="O17" i="32" s="1"/>
  <c r="L24" i="32"/>
  <c r="N24" i="32" s="1"/>
  <c r="O24" i="32" s="1"/>
  <c r="L9" i="32"/>
  <c r="N9" i="32" s="1"/>
  <c r="O9" i="32" s="1"/>
  <c r="L7" i="32"/>
  <c r="N7" i="32" s="1"/>
  <c r="O7" i="32" s="1"/>
  <c r="L36" i="32"/>
  <c r="N36" i="32" s="1"/>
  <c r="O36" i="32" s="1"/>
  <c r="L14" i="32"/>
  <c r="N14" i="32" s="1"/>
  <c r="O14" i="32" s="1"/>
  <c r="L41" i="32"/>
  <c r="N41" i="32" s="1"/>
  <c r="O41" i="32" s="1"/>
  <c r="L26" i="32"/>
  <c r="L31" i="32"/>
  <c r="L16" i="32"/>
  <c r="N16" i="32" s="1"/>
  <c r="O16" i="32" s="1"/>
  <c r="L21" i="32"/>
  <c r="N21" i="32" s="1"/>
  <c r="O21" i="32" s="1"/>
  <c r="L40" i="32"/>
  <c r="N40" i="32" s="1"/>
  <c r="O40" i="32" s="1"/>
  <c r="L32" i="32"/>
  <c r="N32" i="32" s="1"/>
  <c r="O32" i="32" s="1"/>
  <c r="L6" i="32"/>
  <c r="N6" i="32" s="1"/>
  <c r="O6" i="32" s="1"/>
  <c r="L11" i="32"/>
  <c r="N11" i="32" s="1"/>
  <c r="O11" i="32" s="1"/>
  <c r="L30" i="32"/>
  <c r="N30" i="32" s="1"/>
  <c r="O30" i="32" s="1"/>
  <c r="L22" i="32"/>
  <c r="N22" i="32" s="1"/>
  <c r="O22" i="32" s="1"/>
  <c r="L20" i="32"/>
  <c r="L12" i="32"/>
  <c r="L38" i="32"/>
  <c r="N38" i="32" s="1"/>
  <c r="O38" i="32" s="1"/>
  <c r="L42" i="32"/>
  <c r="N42" i="32" s="1"/>
  <c r="O42" i="32" s="1"/>
  <c r="L35" i="32"/>
  <c r="N35" i="32" s="1"/>
  <c r="O35" i="32" s="1"/>
  <c r="L28" i="32"/>
  <c r="N28" i="32" s="1"/>
  <c r="O28" i="32" s="1"/>
  <c r="L25" i="32"/>
  <c r="N25" i="32" s="1"/>
  <c r="O25" i="32" s="1"/>
  <c r="L43" i="32"/>
  <c r="N43" i="32" s="1"/>
  <c r="O43" i="32" s="1"/>
  <c r="L10" i="32"/>
  <c r="N10" i="32" s="1"/>
  <c r="O10" i="32" s="1"/>
  <c r="E39" i="32"/>
  <c r="E41" i="32"/>
  <c r="E29" i="32"/>
  <c r="E40" i="32"/>
  <c r="E18" i="32"/>
  <c r="N34" i="32"/>
  <c r="O34" i="32" s="1"/>
  <c r="E7" i="32"/>
  <c r="E27" i="32"/>
  <c r="E30" i="32"/>
  <c r="E22" i="32"/>
  <c r="E21" i="32"/>
  <c r="E44" i="32"/>
  <c r="E33" i="32"/>
  <c r="E15" i="32"/>
  <c r="E20" i="32"/>
  <c r="E36" i="32"/>
  <c r="N26" i="32"/>
  <c r="O26" i="32" s="1"/>
  <c r="E37" i="32"/>
  <c r="E35" i="32"/>
  <c r="E10" i="32"/>
  <c r="E19" i="32"/>
  <c r="N20" i="32"/>
  <c r="O20" i="32" s="1"/>
  <c r="E42" i="32"/>
  <c r="E9" i="32"/>
  <c r="AT80" i="31"/>
  <c r="E12" i="32"/>
  <c r="N12" i="32"/>
  <c r="O12" i="32" s="1"/>
  <c r="N27" i="32"/>
  <c r="O27" i="32" s="1"/>
  <c r="E43" i="32"/>
  <c r="N33" i="32"/>
  <c r="O33" i="32" s="1"/>
  <c r="E24" i="32"/>
  <c r="E8" i="32"/>
  <c r="N31" i="32"/>
  <c r="O31" i="32" s="1"/>
  <c r="J5" i="32"/>
  <c r="C45" i="32"/>
  <c r="E5" i="32"/>
  <c r="E38" i="32"/>
  <c r="E31" i="32"/>
  <c r="E23" i="32"/>
  <c r="E6" i="32"/>
  <c r="E34" i="32"/>
  <c r="E17" i="32"/>
  <c r="E13" i="32"/>
  <c r="E32" i="32"/>
  <c r="E28" i="32"/>
  <c r="E14" i="32"/>
  <c r="E16" i="32"/>
  <c r="E26" i="32"/>
  <c r="E25" i="32"/>
  <c r="E11" i="32"/>
  <c r="J45" i="32" l="1"/>
  <c r="J47" i="32" s="1"/>
  <c r="E45" i="32"/>
  <c r="L5" i="32"/>
  <c r="L45" i="32" s="1"/>
  <c r="D45" i="32"/>
  <c r="N5" i="32" l="1"/>
  <c r="O5" i="32" l="1"/>
  <c r="O45" i="32" s="1"/>
  <c r="N45" i="3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<sst xmlns="http://schemas.openxmlformats.org/spreadsheetml/2006/main" count="401" uniqueCount="219">
  <si>
    <t xml:space="preserve">Value </t>
  </si>
  <si>
    <t>Root:shoot ratio</t>
  </si>
  <si>
    <t>hectares</t>
  </si>
  <si>
    <t>Conservation Area</t>
  </si>
  <si>
    <t>Source</t>
  </si>
  <si>
    <t>Year</t>
  </si>
  <si>
    <t>Estimated leakage emissions (tCO2e)</t>
  </si>
  <si>
    <t>Total</t>
  </si>
  <si>
    <t>Version:</t>
  </si>
  <si>
    <t xml:space="preserve">Date: </t>
  </si>
  <si>
    <t>Last update by:</t>
  </si>
  <si>
    <t>Eucalyptus</t>
  </si>
  <si>
    <t>Age</t>
  </si>
  <si>
    <t>New Forests: Outgrower Area Afforestation and Carbon Stock Tables</t>
  </si>
  <si>
    <t>Hectares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</si>
  <si>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</si>
  <si>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</si>
  <si>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</si>
  <si>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</si>
  <si>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</si>
  <si>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</si>
  <si>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</si>
  <si>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</si>
  <si>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</si>
  <si>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</si>
  <si>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</si>
  <si>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 xml:space="preserve">TOTAL </t>
  </si>
  <si>
    <t>TOTAL</t>
  </si>
  <si>
    <t>Pine</t>
  </si>
  <si>
    <t>11-12</t>
  </si>
  <si>
    <t>12-13</t>
  </si>
  <si>
    <t>13-14</t>
  </si>
  <si>
    <t>16-17</t>
  </si>
  <si>
    <t>17-18</t>
  </si>
  <si>
    <t>Carbon Stock in tC</t>
  </si>
  <si>
    <t>Carbon sequestration in tons of carbon per hectare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</si>
  <si>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</si>
  <si>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</si>
  <si>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</si>
  <si>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</si>
  <si>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</si>
  <si>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</si>
  <si>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</si>
  <si>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</si>
  <si>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</si>
  <si>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</si>
  <si>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</si>
  <si>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</si>
  <si>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</si>
  <si>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</si>
  <si>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</si>
  <si>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</si>
  <si>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</si>
  <si>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</si>
  <si>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</si>
  <si>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</si>
  <si>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</si>
  <si>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</si>
  <si>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</si>
  <si>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</si>
  <si>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</si>
  <si>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</si>
  <si>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</si>
  <si>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</si>
  <si>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</si>
  <si>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</si>
  <si>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</si>
  <si>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Year 32</t>
  </si>
  <si>
    <t>Year 33</t>
  </si>
  <si>
    <t>Year 34</t>
  </si>
  <si>
    <t>Year 35</t>
  </si>
  <si>
    <t>Year 36</t>
  </si>
  <si>
    <t>Year 37</t>
  </si>
  <si>
    <t>Year 38</t>
  </si>
  <si>
    <t>Year 39</t>
  </si>
  <si>
    <t>Year 40</t>
  </si>
  <si>
    <t>Biomass carbon pool (tC/ha.yr)</t>
  </si>
  <si>
    <t>Soil organic carbon pool (tC/ha.yr)</t>
  </si>
  <si>
    <t xml:space="preserve">Net carbon sequestration (tC/ha.yr) </t>
  </si>
  <si>
    <t xml:space="preserve">Carbon sequestration (tCO2e) for each year of planting </t>
  </si>
  <si>
    <t>Buffer 18%</t>
  </si>
  <si>
    <t>VCUs issued</t>
  </si>
  <si>
    <t xml:space="preserve">New Forests Company: Combined carbon sequestration model. </t>
  </si>
  <si>
    <t>T Knowles</t>
  </si>
  <si>
    <t>Model inputs</t>
  </si>
  <si>
    <t xml:space="preserve">Parameter </t>
  </si>
  <si>
    <t>VCS Risk discount (%)</t>
  </si>
  <si>
    <t>Verra Risk Tool (attached)</t>
  </si>
  <si>
    <t>Mokany et al 2006</t>
  </si>
  <si>
    <t>CDM/Verra Soil Organic Carbon Model (see reference below)</t>
  </si>
  <si>
    <t>SOC sequetration rate (tC/ha.yr)</t>
  </si>
  <si>
    <t>Meth Tool (First 20 years)</t>
  </si>
  <si>
    <t>Ratio of molecular weights</t>
  </si>
  <si>
    <t>Carbon to Carbon Dioxide</t>
  </si>
  <si>
    <t>28 July 2025</t>
  </si>
  <si>
    <t>Wheeler et al. (2016)</t>
  </si>
  <si>
    <t>Conservation Area Woody Carbon Pool Model</t>
  </si>
  <si>
    <t>Spatial extent</t>
  </si>
  <si>
    <t>Annual Aboveground Growth Rate (tC/ha.yr)</t>
  </si>
  <si>
    <t>Estimated project emissions per year (tCO2e/yr)</t>
  </si>
  <si>
    <t>Buffer Pool allocation</t>
  </si>
  <si>
    <t>Removal VCUs per year (tCO2e/yr)</t>
  </si>
  <si>
    <t>Data transposed</t>
  </si>
  <si>
    <t xml:space="preserve">Vintage Period </t>
  </si>
  <si>
    <t>Estimated baseline emissions (tCO2e)</t>
  </si>
  <si>
    <t>Estimated project emissions (tCO2e)</t>
  </si>
  <si>
    <t>Estimated Buffer Pool allocation (tCO2e)</t>
  </si>
  <si>
    <t>Estimated reduction VCUs (tCO2e)</t>
  </si>
  <si>
    <t>Estimated removal VCUs (tCO2e)</t>
  </si>
  <si>
    <t>Estimated total VCUs (tCO2e/yr)</t>
  </si>
  <si>
    <t>1 July 2017 to 31 Dec 2017</t>
  </si>
  <si>
    <t>1 Jan 2018 to 31 Dec 2018</t>
  </si>
  <si>
    <t>1 Jan 2019 to 31 Dec 2019</t>
  </si>
  <si>
    <t>1 Jan 2020 to 31 Dec 2020</t>
  </si>
  <si>
    <t>1 Jan 2021 to 31 Dec 2021</t>
  </si>
  <si>
    <t>1 Jan 2022 to 31 Dec 2022</t>
  </si>
  <si>
    <t>1 Jan 2023 to 31 Dec 2023</t>
  </si>
  <si>
    <t>1 Jan 2024 to 31 Dec 2024</t>
  </si>
  <si>
    <t>1 Jan 2025 to 31 Dec 2025</t>
  </si>
  <si>
    <t>1 Jan 2026 to 31 Dec 2026</t>
  </si>
  <si>
    <t>1 Jan 2027 to 31 Dec 2027</t>
  </si>
  <si>
    <t>1 Jan 2028 to 31 Dec 2028</t>
  </si>
  <si>
    <t>1 Jan 2029 to 31 Dec 2029</t>
  </si>
  <si>
    <t>1 Jan 2030 to 31 Dec 2030</t>
  </si>
  <si>
    <t>1 Jan 2031 to 31 Dec 2031</t>
  </si>
  <si>
    <t>1 Jan 2032 to 31 Dec 2032</t>
  </si>
  <si>
    <t>1 Jan 2033 to 31 Dec 2033</t>
  </si>
  <si>
    <t>1 Jan 2034 to 31 Dec 2034</t>
  </si>
  <si>
    <t>1 Jan 2035 to 31 Dec 2035</t>
  </si>
  <si>
    <t>1 Jan 2036 to 31 Dec 2036</t>
  </si>
  <si>
    <t>1 Jan 2037 to 31 Dec 2037</t>
  </si>
  <si>
    <t>1 Jan 2038 to 31 Dec 2038</t>
  </si>
  <si>
    <t>1 Jan 2039 to 31 Dec 2039</t>
  </si>
  <si>
    <t>1 Jan 2040 to 31 Dec 2040</t>
  </si>
  <si>
    <t>1 Jan 2041 to 31 Dec 2041</t>
  </si>
  <si>
    <t>1 Jan 2042 to 31 Dec 2042</t>
  </si>
  <si>
    <t>1 Jan 2043 to 31 Dec 2043</t>
  </si>
  <si>
    <t>1 Jan 2044 to 31 Dec 2044</t>
  </si>
  <si>
    <t>1 Jan 2045 to 31 Dec 2045</t>
  </si>
  <si>
    <t>1 Jan 2046 to 31 Dec 2046</t>
  </si>
  <si>
    <t>1 Jan 2047 to 31 Dec 2047</t>
  </si>
  <si>
    <t>1 Jan 2048 to 31 Dec 2048</t>
  </si>
  <si>
    <t>1 Jan 2049 to 31 Dec 2049</t>
  </si>
  <si>
    <t>1 Jan 2050 to 31 Dec 2050</t>
  </si>
  <si>
    <t>1 Jan 2051 to 31 Dec 2051</t>
  </si>
  <si>
    <t>1 Jan 2052 to 31 Dec 2052</t>
  </si>
  <si>
    <t>1 Jan 2053 to 31 Dec 2053</t>
  </si>
  <si>
    <t>1 Jan 2054 to 31 Dec 2054</t>
  </si>
  <si>
    <t>1 Jan 2055 to 31 Dec 2055</t>
  </si>
  <si>
    <t>1 Jan 2056 to 31 Dec 2056</t>
  </si>
  <si>
    <t>Cumulative</t>
  </si>
  <si>
    <t>Actuals</t>
  </si>
  <si>
    <t>Projections</t>
  </si>
  <si>
    <t>Conservation areas</t>
  </si>
  <si>
    <t>New data</t>
  </si>
  <si>
    <t>Stand volume (Column C) imported from MF output with suitable model according to Modified Buckspec approach (see accompanying document)</t>
  </si>
  <si>
    <t>Regime</t>
  </si>
  <si>
    <t>Carbon, planted at 2000 SPH, No thinning</t>
  </si>
  <si>
    <t xml:space="preserve">Species: </t>
  </si>
  <si>
    <t xml:space="preserve">E. grandis x urophylla </t>
  </si>
  <si>
    <t xml:space="preserve">Density: </t>
  </si>
  <si>
    <t>To be specified for each species</t>
  </si>
  <si>
    <t>UTILIZABLE COMPONENTS</t>
  </si>
  <si>
    <t xml:space="preserve">                                         BIOMASS COMPONENTS</t>
  </si>
  <si>
    <t xml:space="preserve">              CARBON SEQUESTRATION</t>
  </si>
  <si>
    <t>Stand volume</t>
  </si>
  <si>
    <t>MAI</t>
  </si>
  <si>
    <t>Stem mass</t>
  </si>
  <si>
    <t>Bark</t>
  </si>
  <si>
    <t>Branches</t>
  </si>
  <si>
    <t>Leaves</t>
  </si>
  <si>
    <t>AGB</t>
  </si>
  <si>
    <t>Roots&amp;stump</t>
  </si>
  <si>
    <t>Total biomass</t>
  </si>
  <si>
    <t xml:space="preserve">           Carbon stocks</t>
  </si>
  <si>
    <t>(years)</t>
  </si>
  <si>
    <t>EUC MODEL</t>
  </si>
  <si>
    <t>Sawlog regime, planted at 1111 PH thinned to 600 SPH at 8 years of age</t>
  </si>
  <si>
    <t>Pinus caribaea</t>
  </si>
  <si>
    <t>CARBON SEQUESTRATION</t>
  </si>
  <si>
    <t>PINE MODEL</t>
  </si>
  <si>
    <t>Euc</t>
  </si>
  <si>
    <t>Summary</t>
  </si>
  <si>
    <t>HA planted</t>
  </si>
  <si>
    <t>New data (clean polygons +updated projections)</t>
  </si>
  <si>
    <t>tC per ha</t>
  </si>
  <si>
    <t>Outgrowers areas (Afforestation)</t>
  </si>
  <si>
    <t>14-15</t>
  </si>
  <si>
    <t>15-16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</si>
  <si>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</si>
  <si>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</si>
  <si>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</si>
  <si>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</si>
  <si>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</si>
  <si>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</si>
  <si>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</si>
  <si>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</si>
  <si>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</si>
  <si>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</si>
  <si>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</si>
  <si>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</si>
  <si>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</si>
  <si>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Net tC</t>
  </si>
  <si>
    <t xml:space="preserve"> Total tC</t>
  </si>
  <si>
    <t>Total HA</t>
  </si>
  <si>
    <t>An.change</t>
  </si>
  <si>
    <t>Long-term average carbon stock (tC)</t>
  </si>
  <si>
    <t>LTA per ha (tC)</t>
  </si>
  <si>
    <t>Out-grower ARR</t>
  </si>
  <si>
    <r>
      <t>CO</t>
    </r>
    <r>
      <rPr>
        <vertAlign val="sub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e </t>
    </r>
  </si>
  <si>
    <r>
      <t>(m</t>
    </r>
    <r>
      <rPr>
        <vertAlign val="superscript"/>
        <sz val="9"/>
        <color theme="1"/>
        <rFont val="Calibri"/>
        <family val="2"/>
        <scheme val="minor"/>
      </rPr>
      <t xml:space="preserve">3 </t>
    </r>
    <r>
      <rPr>
        <sz val="9"/>
        <color theme="1"/>
        <rFont val="Calibri"/>
        <family val="2"/>
        <scheme val="minor"/>
      </rPr>
      <t>ha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</si>
  <si>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(Mg ha</t>
    </r>
    <r>
      <rPr>
        <vertAlign val="superscript"/>
        <sz val="9"/>
        <color theme="1"/>
        <rFont val="Calibri"/>
        <family val="2"/>
        <scheme val="minor"/>
      </rPr>
      <t xml:space="preserve">-1  </t>
    </r>
    <r>
      <rPr>
        <sz val="9"/>
        <color theme="1"/>
        <rFont val="Calibri"/>
        <family val="2"/>
        <scheme val="minor"/>
      </rPr>
      <t>yr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</si>
  <si>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(Mg</t>
    </r>
    <r>
      <rPr>
        <vertAlign val="superscript"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ha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</si>
  <si>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(Mg ha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</si>
  <si>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MAI (Mg ha</t>
    </r>
    <r>
      <rPr>
        <vertAlign val="superscript"/>
        <sz val="9"/>
        <color theme="1"/>
        <rFont val="Calibri"/>
        <family val="2"/>
        <scheme val="minor"/>
      </rPr>
      <t xml:space="preserve">-1  </t>
    </r>
    <r>
      <rPr>
        <sz val="9"/>
        <color theme="1"/>
        <rFont val="Calibri"/>
        <family val="2"/>
        <scheme val="minor"/>
      </rPr>
      <t>yr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</si>
  <si>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CAI (Mg</t>
    </r>
    <r>
      <rPr>
        <vertAlign val="superscript"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ha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</si>
  <si>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CAI (Mg ha</t>
    </r>
    <r>
      <rPr>
        <vertAlign val="superscript"/>
        <sz val="9"/>
        <color theme="1"/>
        <rFont val="Calibri"/>
        <family val="2"/>
        <scheme val="minor"/>
      </rPr>
      <t>-1</t>
    </r>
    <r>
      <rPr>
        <sz val="9"/>
        <color theme="1"/>
        <rFont val="Calibri"/>
        <family val="2"/>
        <scheme val="minor"/>
      </rPr>
      <t>)</t>
    </r>
  </si>
  <si>
    <r>
      <t>CAI</t>
    </r>
    <r>
      <rPr>
        <vertAlign val="subscript"/>
        <sz val="10"/>
        <color theme="1"/>
        <rFont val="Calibri"/>
        <family val="2"/>
        <scheme val="minor"/>
      </rPr>
      <t>C</t>
    </r>
  </si>
  <si>
    <r>
      <t xml:space="preserve">                      CO</t>
    </r>
    <r>
      <rPr>
        <vertAlign val="subscript"/>
        <sz val="10"/>
        <color theme="1"/>
        <rFont val="Calibri"/>
        <family val="2"/>
        <scheme val="minor"/>
      </rPr>
      <t xml:space="preserve">2 </t>
    </r>
    <r>
      <rPr>
        <sz val="10"/>
        <color theme="1"/>
        <rFont val="Calibri"/>
        <family val="2"/>
        <scheme val="minor"/>
      </rPr>
      <t>sequested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</si>
</sst>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_-* #,##0.0_-;\-* #,##0.0_-;_-* &quot;-&quot;??_-;_-@_-"/>
    <numFmt numFmtId="169" formatCode="_-* #,##0_-;\-* #,##0_-;_-* &quot;-&quot;??_-;_-@_-"/>
    <numFmt numFmtId="170" formatCode="[&gt;=1000000]\ ###\,###\,##0;[&gt;=100000]\ ###\,##0;##\,##0"/>
    <numFmt numFmtId="171" formatCode="#,##0.0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 (Body)"/>
    </font>
    <font>
      <b/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404040"/>
      <name val="Calibri"/>
      <family val="2"/>
    </font>
    <font>
      <b/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4C6E7"/>
        <bgColor rgb="FFD9E1F2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  <border>
      <left style="medium">
        <color indexed="64"/>
      </left>
      <right/>
      <top style="medium">
        <color rgb="FFC00000"/>
      </top>
      <bottom style="thin">
        <color indexed="64"/>
      </bottom>
      <diagonal/>
    </border>
    <border>
      <left/>
      <right style="medium">
        <color indexed="64"/>
      </right>
      <top style="medium">
        <color rgb="FFC00000"/>
      </top>
      <bottom style="thin">
        <color indexed="64"/>
      </bottom>
      <diagonal/>
    </border>
    <border>
      <left style="medium">
        <color indexed="64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/>
      <top style="medium">
        <color rgb="FFC00000"/>
      </top>
      <bottom style="thin">
        <color indexed="64"/>
      </bottom>
      <diagonal/>
    </border>
    <border>
      <left/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medium">
        <color indexed="64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indexed="64"/>
      </right>
      <top/>
      <bottom style="medium">
        <color rgb="FFC00000"/>
      </bottom>
      <diagonal/>
    </border>
    <border>
      <left style="dashed">
        <color indexed="64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thick">
        <color rgb="FFF4FFFB"/>
      </bottom>
      <diagonal/>
    </border>
    <border>
      <left style="thin">
        <color indexed="64"/>
      </left>
      <right/>
      <top/>
      <bottom style="medium">
        <color rgb="FFFFFFFF"/>
      </bottom>
      <diagonal/>
    </border>
  </borders>
  <cellStyleXfs count="11">
    <xf numFmtId="0" fontId="0" fillId="0" borderId="0"/>
    <xf numFmtId="0" fontId="1" fillId="0" borderId="0"/>
    <xf numFmtId="0" fontId="12" fillId="4" borderId="0" applyNumberFormat="0" applyBorder="0" applyAlignment="0" applyProtection="0"/>
    <xf numFmtId="0" fontId="6" fillId="0" borderId="0"/>
    <xf numFmtId="0" fontId="11" fillId="0" borderId="0"/>
    <xf numFmtId="165" fontId="11" fillId="0" borderId="0" applyFont="0" applyFill="0" applyBorder="0" applyAlignment="0" applyProtection="0"/>
    <xf numFmtId="0" fontId="3" fillId="0" borderId="0"/>
    <xf numFmtId="0" fontId="17" fillId="0" borderId="0"/>
    <xf numFmtId="164" fontId="17" fillId="0" borderId="0" applyFont="0" applyFill="0" applyBorder="0" applyAlignment="0" applyProtection="0"/>
    <xf numFmtId="0" fontId="11" fillId="16" borderId="16" applyNumberFormat="0" applyFont="0" applyAlignment="0" applyProtection="0"/>
    <xf numFmtId="165" fontId="11" fillId="0" borderId="0" applyFont="0" applyFill="0" applyBorder="0" applyAlignment="0" applyProtection="0"/>
  </cellStyleXfs>
  <cellXfs count="23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10" fillId="0" borderId="0" xfId="0" applyFont="1"/>
    <xf numFmtId="0" fontId="0" fillId="0" borderId="4" xfId="0" applyBorder="1"/>
    <xf numFmtId="0" fontId="14" fillId="8" borderId="0" xfId="0" applyFont="1" applyFill="1" applyAlignment="1">
      <alignment vertical="center"/>
    </xf>
    <xf numFmtId="0" fontId="14" fillId="8" borderId="0" xfId="0" applyFont="1" applyFill="1"/>
    <xf numFmtId="0" fontId="9" fillId="8" borderId="0" xfId="0" applyFont="1" applyFill="1"/>
    <xf numFmtId="0" fontId="0" fillId="8" borderId="0" xfId="0" applyFill="1"/>
    <xf numFmtId="0" fontId="14" fillId="9" borderId="0" xfId="0" applyFont="1" applyFill="1"/>
    <xf numFmtId="0" fontId="14" fillId="0" borderId="0" xfId="0" applyFont="1"/>
    <xf numFmtId="0" fontId="0" fillId="10" borderId="0" xfId="0" applyFill="1"/>
    <xf numFmtId="0" fontId="10" fillId="8" borderId="0" xfId="0" applyFont="1" applyFill="1"/>
    <xf numFmtId="168" fontId="0" fillId="0" borderId="0" xfId="0" applyNumberFormat="1"/>
    <xf numFmtId="169" fontId="0" fillId="0" borderId="0" xfId="0" applyNumberFormat="1"/>
    <xf numFmtId="167" fontId="0" fillId="0" borderId="0" xfId="0" applyNumberFormat="1"/>
    <xf numFmtId="0" fontId="14" fillId="7" borderId="0" xfId="0" applyFont="1" applyFill="1"/>
    <xf numFmtId="0" fontId="0" fillId="7" borderId="0" xfId="0" applyFill="1"/>
    <xf numFmtId="169" fontId="0" fillId="0" borderId="2" xfId="0" applyNumberFormat="1" applyBorder="1"/>
    <xf numFmtId="169" fontId="0" fillId="0" borderId="8" xfId="0" applyNumberFormat="1" applyBorder="1"/>
    <xf numFmtId="0" fontId="0" fillId="5" borderId="0" xfId="0" applyFill="1"/>
    <xf numFmtId="0" fontId="5" fillId="6" borderId="0" xfId="4" applyFont="1" applyFill="1"/>
    <xf numFmtId="0" fontId="4" fillId="0" borderId="0" xfId="4" applyFont="1"/>
    <xf numFmtId="0" fontId="11" fillId="0" borderId="0" xfId="0" applyFont="1"/>
    <xf numFmtId="166" fontId="11" fillId="0" borderId="0" xfId="0" quotePrefix="1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4" fillId="2" borderId="1" xfId="4" applyFont="1" applyFill="1" applyBorder="1"/>
    <xf numFmtId="168" fontId="0" fillId="5" borderId="0" xfId="0" applyNumberFormat="1" applyFill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0" fillId="0" borderId="7" xfId="0" applyBorder="1" applyAlignment="1">
      <alignment horizontal="left"/>
    </xf>
    <xf numFmtId="3" fontId="0" fillId="0" borderId="8" xfId="0" applyNumberFormat="1" applyBorder="1"/>
    <xf numFmtId="0" fontId="0" fillId="0" borderId="10" xfId="0" applyBorder="1" applyAlignment="1">
      <alignment horizontal="left"/>
    </xf>
    <xf numFmtId="3" fontId="0" fillId="0" borderId="2" xfId="0" applyNumberFormat="1" applyBorder="1"/>
    <xf numFmtId="3" fontId="0" fillId="0" borderId="11" xfId="0" applyNumberFormat="1" applyBorder="1"/>
    <xf numFmtId="0" fontId="4" fillId="0" borderId="0" xfId="0" applyFont="1"/>
    <xf numFmtId="0" fontId="16" fillId="0" borderId="0" xfId="0" applyFont="1"/>
    <xf numFmtId="0" fontId="2" fillId="0" borderId="0" xfId="0" applyFont="1" applyAlignment="1">
      <alignment horizontal="left"/>
    </xf>
    <xf numFmtId="0" fontId="8" fillId="19" borderId="19" xfId="0" applyFont="1" applyFill="1" applyBorder="1"/>
    <xf numFmtId="0" fontId="13" fillId="20" borderId="22" xfId="0" applyFont="1" applyFill="1" applyBorder="1"/>
    <xf numFmtId="0" fontId="13" fillId="21" borderId="18" xfId="0" applyFont="1" applyFill="1" applyBorder="1"/>
    <xf numFmtId="0" fontId="13" fillId="21" borderId="22" xfId="0" applyFont="1" applyFill="1" applyBorder="1"/>
    <xf numFmtId="0" fontId="13" fillId="21" borderId="23" xfId="0" applyFont="1" applyFill="1" applyBorder="1"/>
    <xf numFmtId="0" fontId="8" fillId="19" borderId="1" xfId="0" applyFont="1" applyFill="1" applyBorder="1"/>
    <xf numFmtId="0" fontId="13" fillId="20" borderId="1" xfId="0" applyFont="1" applyFill="1" applyBorder="1"/>
    <xf numFmtId="0" fontId="13" fillId="21" borderId="15" xfId="0" applyFont="1" applyFill="1" applyBorder="1"/>
    <xf numFmtId="0" fontId="13" fillId="21" borderId="13" xfId="0" applyFont="1" applyFill="1" applyBorder="1"/>
    <xf numFmtId="166" fontId="4" fillId="0" borderId="0" xfId="0" applyNumberFormat="1" applyFont="1"/>
    <xf numFmtId="0" fontId="9" fillId="8" borderId="0" xfId="0" applyFont="1" applyFill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0" fillId="8" borderId="0" xfId="0" applyFont="1" applyFill="1" applyAlignment="1">
      <alignment horizontal="left"/>
    </xf>
    <xf numFmtId="0" fontId="15" fillId="10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166" fontId="16" fillId="0" borderId="0" xfId="0" applyNumberFormat="1" applyFont="1"/>
    <xf numFmtId="0" fontId="16" fillId="0" borderId="4" xfId="0" applyFont="1" applyBorder="1" applyAlignment="1">
      <alignment horizontal="right"/>
    </xf>
    <xf numFmtId="166" fontId="16" fillId="0" borderId="4" xfId="0" applyNumberFormat="1" applyFont="1" applyBorder="1" applyAlignment="1">
      <alignment horizontal="right"/>
    </xf>
    <xf numFmtId="169" fontId="0" fillId="0" borderId="11" xfId="0" applyNumberFormat="1" applyBorder="1"/>
    <xf numFmtId="0" fontId="0" fillId="11" borderId="1" xfId="0" applyFill="1" applyBorder="1" applyAlignment="1">
      <alignment horizontal="right"/>
    </xf>
    <xf numFmtId="0" fontId="14" fillId="8" borderId="0" xfId="0" applyFont="1" applyFill="1" applyAlignment="1">
      <alignment horizontal="left"/>
    </xf>
    <xf numFmtId="0" fontId="14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6" fillId="12" borderId="1" xfId="0" applyFont="1" applyFill="1" applyBorder="1"/>
    <xf numFmtId="16" fontId="16" fillId="12" borderId="1" xfId="0" quotePrefix="1" applyNumberFormat="1" applyFont="1" applyFill="1" applyBorder="1"/>
    <xf numFmtId="0" fontId="16" fillId="11" borderId="14" xfId="0" applyFont="1" applyFill="1" applyBorder="1"/>
    <xf numFmtId="0" fontId="18" fillId="0" borderId="0" xfId="0" applyFont="1" applyAlignment="1">
      <alignment horizontal="left"/>
    </xf>
    <xf numFmtId="167" fontId="0" fillId="0" borderId="2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2" fillId="7" borderId="0" xfId="0" applyFont="1" applyFill="1"/>
    <xf numFmtId="2" fontId="4" fillId="0" borderId="0" xfId="4" applyNumberFormat="1" applyFont="1"/>
    <xf numFmtId="0" fontId="4" fillId="0" borderId="1" xfId="4" applyFont="1" applyBorder="1"/>
    <xf numFmtId="3" fontId="4" fillId="0" borderId="1" xfId="4" applyNumberFormat="1" applyFont="1" applyBorder="1"/>
    <xf numFmtId="3" fontId="4" fillId="0" borderId="0" xfId="4" applyNumberFormat="1" applyFont="1"/>
    <xf numFmtId="0" fontId="4" fillId="0" borderId="0" xfId="4" applyFont="1" applyAlignment="1">
      <alignment horizontal="left"/>
    </xf>
    <xf numFmtId="168" fontId="0" fillId="3" borderId="0" xfId="0" applyNumberFormat="1" applyFill="1"/>
    <xf numFmtId="168" fontId="0" fillId="3" borderId="2" xfId="0" applyNumberFormat="1" applyFill="1" applyBorder="1"/>
    <xf numFmtId="0" fontId="20" fillId="24" borderId="13" xfId="0" applyFont="1" applyFill="1" applyBorder="1"/>
    <xf numFmtId="16" fontId="20" fillId="24" borderId="1" xfId="0" applyNumberFormat="1" applyFont="1" applyFill="1" applyBorder="1"/>
    <xf numFmtId="16" fontId="20" fillId="24" borderId="13" xfId="0" applyNumberFormat="1" applyFont="1" applyFill="1" applyBorder="1"/>
    <xf numFmtId="168" fontId="0" fillId="0" borderId="0" xfId="0" applyNumberFormat="1" applyAlignment="1">
      <alignment horizontal="center"/>
    </xf>
    <xf numFmtId="168" fontId="12" fillId="0" borderId="0" xfId="2" applyNumberFormat="1" applyFill="1" applyBorder="1"/>
    <xf numFmtId="168" fontId="12" fillId="0" borderId="0" xfId="2" applyNumberFormat="1" applyFill="1" applyBorder="1" applyAlignment="1">
      <alignment horizontal="center"/>
    </xf>
    <xf numFmtId="168" fontId="0" fillId="0" borderId="2" xfId="0" applyNumberFormat="1" applyBorder="1"/>
    <xf numFmtId="168" fontId="0" fillId="0" borderId="2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11" borderId="13" xfId="0" applyFont="1" applyFill="1" applyBorder="1"/>
    <xf numFmtId="169" fontId="0" fillId="0" borderId="5" xfId="0" applyNumberFormat="1" applyBorder="1"/>
    <xf numFmtId="0" fontId="4" fillId="7" borderId="0" xfId="0" applyFont="1" applyFill="1" applyAlignment="1">
      <alignment horizontal="lef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169" fontId="4" fillId="7" borderId="0" xfId="0" applyNumberFormat="1" applyFont="1" applyFill="1"/>
    <xf numFmtId="167" fontId="0" fillId="0" borderId="2" xfId="0" applyNumberFormat="1" applyBorder="1"/>
    <xf numFmtId="0" fontId="0" fillId="11" borderId="13" xfId="0" applyFill="1" applyBorder="1" applyAlignment="1">
      <alignment horizontal="right"/>
    </xf>
    <xf numFmtId="167" fontId="0" fillId="0" borderId="0" xfId="0" applyNumberFormat="1" applyAlignment="1">
      <alignment horizontal="right"/>
    </xf>
    <xf numFmtId="168" fontId="4" fillId="7" borderId="0" xfId="0" applyNumberFormat="1" applyFont="1" applyFill="1"/>
    <xf numFmtId="0" fontId="21" fillId="0" borderId="0" xfId="4" applyFont="1" applyAlignment="1">
      <alignment horizontal="left"/>
    </xf>
    <xf numFmtId="0" fontId="0" fillId="0" borderId="2" xfId="0" applyBorder="1" applyAlignment="1">
      <alignment horizontal="left"/>
    </xf>
    <xf numFmtId="171" fontId="0" fillId="5" borderId="0" xfId="0" applyNumberFormat="1" applyFill="1"/>
    <xf numFmtId="171" fontId="11" fillId="5" borderId="0" xfId="2" applyNumberFormat="1" applyFont="1" applyFill="1" applyBorder="1"/>
    <xf numFmtId="171" fontId="12" fillId="5" borderId="0" xfId="2" applyNumberFormat="1" applyFill="1" applyBorder="1"/>
    <xf numFmtId="171" fontId="0" fillId="3" borderId="0" xfId="0" applyNumberFormat="1" applyFill="1"/>
    <xf numFmtId="0" fontId="23" fillId="0" borderId="0" xfId="3" applyFont="1"/>
    <xf numFmtId="0" fontId="22" fillId="0" borderId="0" xfId="3" applyFont="1"/>
    <xf numFmtId="0" fontId="22" fillId="7" borderId="15" xfId="3" applyFont="1" applyFill="1" applyBorder="1" applyAlignment="1">
      <alignment vertical="top"/>
    </xf>
    <xf numFmtId="0" fontId="22" fillId="7" borderId="1" xfId="3" applyFont="1" applyFill="1" applyBorder="1" applyAlignment="1">
      <alignment vertical="top" wrapText="1"/>
    </xf>
    <xf numFmtId="0" fontId="22" fillId="7" borderId="13" xfId="3" applyFont="1" applyFill="1" applyBorder="1" applyAlignment="1">
      <alignment vertical="top" wrapText="1"/>
    </xf>
    <xf numFmtId="0" fontId="22" fillId="0" borderId="0" xfId="3" applyFont="1" applyAlignment="1">
      <alignment vertical="top" wrapText="1"/>
    </xf>
    <xf numFmtId="0" fontId="24" fillId="6" borderId="3" xfId="3" applyFont="1" applyFill="1" applyBorder="1" applyAlignment="1">
      <alignment vertical="top"/>
    </xf>
    <xf numFmtId="0" fontId="24" fillId="6" borderId="4" xfId="3" applyFont="1" applyFill="1" applyBorder="1" applyAlignment="1">
      <alignment vertical="top" wrapText="1"/>
    </xf>
    <xf numFmtId="0" fontId="24" fillId="6" borderId="5" xfId="3" applyFont="1" applyFill="1" applyBorder="1" applyAlignment="1">
      <alignment vertical="top" wrapText="1"/>
    </xf>
    <xf numFmtId="0" fontId="22" fillId="13" borderId="7" xfId="3" applyFont="1" applyFill="1" applyBorder="1" applyAlignment="1">
      <alignment horizontal="left"/>
    </xf>
    <xf numFmtId="3" fontId="22" fillId="13" borderId="0" xfId="3" applyNumberFormat="1" applyFont="1" applyFill="1"/>
    <xf numFmtId="3" fontId="22" fillId="13" borderId="8" xfId="3" applyNumberFormat="1" applyFont="1" applyFill="1" applyBorder="1"/>
    <xf numFmtId="3" fontId="22" fillId="0" borderId="0" xfId="3" applyNumberFormat="1" applyFont="1"/>
    <xf numFmtId="0" fontId="25" fillId="15" borderId="49" xfId="0" applyFont="1" applyFill="1" applyBorder="1" applyAlignment="1">
      <alignment vertical="center" wrapText="1"/>
    </xf>
    <xf numFmtId="1" fontId="3" fillId="0" borderId="0" xfId="6" applyNumberFormat="1"/>
    <xf numFmtId="170" fontId="3" fillId="0" borderId="0" xfId="6" applyNumberFormat="1"/>
    <xf numFmtId="170" fontId="3" fillId="0" borderId="8" xfId="6" applyNumberFormat="1" applyBorder="1"/>
    <xf numFmtId="0" fontId="25" fillId="15" borderId="50" xfId="0" applyFont="1" applyFill="1" applyBorder="1" applyAlignment="1">
      <alignment vertical="center" wrapText="1"/>
    </xf>
    <xf numFmtId="0" fontId="25" fillId="15" borderId="7" xfId="0" applyFont="1" applyFill="1" applyBorder="1" applyAlignment="1">
      <alignment vertical="center" wrapText="1"/>
    </xf>
    <xf numFmtId="0" fontId="23" fillId="13" borderId="15" xfId="3" applyFont="1" applyFill="1" applyBorder="1"/>
    <xf numFmtId="3" fontId="23" fillId="13" borderId="1" xfId="3" applyNumberFormat="1" applyFont="1" applyFill="1" applyBorder="1"/>
    <xf numFmtId="3" fontId="23" fillId="13" borderId="13" xfId="3" applyNumberFormat="1" applyFont="1" applyFill="1" applyBorder="1"/>
    <xf numFmtId="0" fontId="26" fillId="15" borderId="15" xfId="3" applyFont="1" applyFill="1" applyBorder="1" applyAlignment="1">
      <alignment vertical="center" wrapText="1"/>
    </xf>
    <xf numFmtId="1" fontId="26" fillId="0" borderId="1" xfId="6" applyNumberFormat="1" applyFont="1" applyBorder="1"/>
    <xf numFmtId="170" fontId="26" fillId="0" borderId="1" xfId="6" applyNumberFormat="1" applyFont="1" applyBorder="1"/>
    <xf numFmtId="170" fontId="26" fillId="0" borderId="13" xfId="6" applyNumberFormat="1" applyFont="1" applyBorder="1"/>
    <xf numFmtId="170" fontId="22" fillId="0" borderId="0" xfId="3" applyNumberFormat="1" applyFont="1"/>
    <xf numFmtId="0" fontId="11" fillId="0" borderId="0" xfId="4" applyAlignment="1">
      <alignment horizontal="left"/>
    </xf>
    <xf numFmtId="0" fontId="11" fillId="0" borderId="0" xfId="4"/>
    <xf numFmtId="0" fontId="11" fillId="7" borderId="0" xfId="4" applyFill="1"/>
    <xf numFmtId="0" fontId="11" fillId="2" borderId="0" xfId="4" applyFill="1"/>
    <xf numFmtId="3" fontId="11" fillId="0" borderId="0" xfId="4" applyNumberFormat="1"/>
    <xf numFmtId="2" fontId="11" fillId="0" borderId="0" xfId="4" applyNumberFormat="1"/>
    <xf numFmtId="0" fontId="11" fillId="13" borderId="0" xfId="4" applyFill="1" applyAlignment="1">
      <alignment horizontal="left"/>
    </xf>
    <xf numFmtId="1" fontId="11" fillId="13" borderId="0" xfId="4" applyNumberFormat="1" applyFill="1" applyAlignment="1">
      <alignment horizontal="left"/>
    </xf>
    <xf numFmtId="1" fontId="11" fillId="0" borderId="0" xfId="4" applyNumberFormat="1"/>
    <xf numFmtId="167" fontId="11" fillId="0" borderId="0" xfId="10" applyNumberFormat="1" applyFont="1"/>
    <xf numFmtId="0" fontId="5" fillId="6" borderId="0" xfId="4" applyFont="1" applyFill="1" applyAlignment="1">
      <alignment vertical="center"/>
    </xf>
    <xf numFmtId="0" fontId="5" fillId="14" borderId="0" xfId="0" applyFont="1" applyFill="1" applyAlignment="1">
      <alignment vertical="center"/>
    </xf>
    <xf numFmtId="0" fontId="11" fillId="0" borderId="1" xfId="0" applyFont="1" applyBorder="1"/>
    <xf numFmtId="9" fontId="11" fillId="0" borderId="0" xfId="0" applyNumberFormat="1" applyFont="1"/>
    <xf numFmtId="166" fontId="11" fillId="0" borderId="0" xfId="0" applyNumberFormat="1" applyFont="1"/>
    <xf numFmtId="2" fontId="11" fillId="0" borderId="0" xfId="0" applyNumberFormat="1" applyFont="1"/>
    <xf numFmtId="0" fontId="4" fillId="7" borderId="0" xfId="4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1" xfId="4" applyFont="1" applyFill="1" applyBorder="1" applyAlignment="1">
      <alignment vertical="center"/>
    </xf>
    <xf numFmtId="0" fontId="7" fillId="17" borderId="0" xfId="0" applyFont="1" applyFill="1"/>
    <xf numFmtId="0" fontId="0" fillId="17" borderId="0" xfId="0" applyFill="1"/>
    <xf numFmtId="0" fontId="27" fillId="0" borderId="0" xfId="0" applyFont="1"/>
    <xf numFmtId="0" fontId="8" fillId="17" borderId="0" xfId="0" applyFont="1" applyFill="1" applyAlignment="1">
      <alignment horizontal="left"/>
    </xf>
    <xf numFmtId="0" fontId="28" fillId="18" borderId="17" xfId="0" applyFont="1" applyFill="1" applyBorder="1"/>
    <xf numFmtId="0" fontId="8" fillId="19" borderId="18" xfId="0" applyFont="1" applyFill="1" applyBorder="1"/>
    <xf numFmtId="0" fontId="13" fillId="20" borderId="20" xfId="0" applyFont="1" applyFill="1" applyBorder="1" applyAlignment="1">
      <alignment horizontal="left"/>
    </xf>
    <xf numFmtId="0" fontId="29" fillId="20" borderId="21" xfId="0" applyFont="1" applyFill="1" applyBorder="1" applyAlignment="1">
      <alignment horizontal="left"/>
    </xf>
    <xf numFmtId="0" fontId="29" fillId="20" borderId="22" xfId="0" applyFont="1" applyFill="1" applyBorder="1" applyAlignment="1">
      <alignment horizontal="center"/>
    </xf>
    <xf numFmtId="0" fontId="29" fillId="18" borderId="24" xfId="0" applyFont="1" applyFill="1" applyBorder="1" applyAlignment="1">
      <alignment horizontal="center"/>
    </xf>
    <xf numFmtId="0" fontId="7" fillId="22" borderId="25" xfId="0" applyFont="1" applyFill="1" applyBorder="1" applyAlignment="1">
      <alignment horizontal="center"/>
    </xf>
    <xf numFmtId="0" fontId="7" fillId="22" borderId="4" xfId="0" applyFont="1" applyFill="1" applyBorder="1" applyAlignment="1">
      <alignment horizontal="center"/>
    </xf>
    <xf numFmtId="0" fontId="7" fillId="22" borderId="26" xfId="0" applyFont="1" applyFill="1" applyBorder="1" applyAlignment="1">
      <alignment horizontal="center"/>
    </xf>
    <xf numFmtId="0" fontId="7" fillId="22" borderId="27" xfId="0" applyFont="1" applyFill="1" applyBorder="1" applyAlignment="1">
      <alignment horizontal="center"/>
    </xf>
    <xf numFmtId="0" fontId="7" fillId="22" borderId="28" xfId="0" applyFont="1" applyFill="1" applyBorder="1" applyAlignment="1">
      <alignment horizontal="center"/>
    </xf>
    <xf numFmtId="0" fontId="7" fillId="22" borderId="25" xfId="0" applyFont="1" applyFill="1" applyBorder="1" applyAlignment="1">
      <alignment horizontal="left"/>
    </xf>
    <xf numFmtId="0" fontId="7" fillId="22" borderId="29" xfId="0" applyFont="1" applyFill="1" applyBorder="1" applyAlignment="1">
      <alignment horizontal="center"/>
    </xf>
    <xf numFmtId="0" fontId="7" fillId="22" borderId="30" xfId="0" applyFont="1" applyFill="1" applyBorder="1" applyAlignment="1">
      <alignment horizontal="center"/>
    </xf>
    <xf numFmtId="166" fontId="0" fillId="0" borderId="0" xfId="0" applyNumberFormat="1"/>
    <xf numFmtId="0" fontId="29" fillId="18" borderId="31" xfId="0" applyFont="1" applyFill="1" applyBorder="1" applyAlignment="1">
      <alignment horizontal="center"/>
    </xf>
    <xf numFmtId="0" fontId="31" fillId="22" borderId="3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2" borderId="33" xfId="0" applyFont="1" applyFill="1" applyBorder="1" applyAlignment="1">
      <alignment horizontal="center"/>
    </xf>
    <xf numFmtId="0" fontId="31" fillId="22" borderId="34" xfId="0" applyFont="1" applyFill="1" applyBorder="1" applyAlignment="1">
      <alignment horizontal="center"/>
    </xf>
    <xf numFmtId="0" fontId="31" fillId="22" borderId="35" xfId="0" applyFont="1" applyFill="1" applyBorder="1" applyAlignment="1">
      <alignment horizontal="center"/>
    </xf>
    <xf numFmtId="0" fontId="29" fillId="18" borderId="36" xfId="0" applyFont="1" applyFill="1" applyBorder="1" applyAlignment="1">
      <alignment horizontal="center"/>
    </xf>
    <xf numFmtId="166" fontId="7" fillId="17" borderId="37" xfId="0" applyNumberFormat="1" applyFont="1" applyFill="1" applyBorder="1" applyAlignment="1">
      <alignment horizontal="center"/>
    </xf>
    <xf numFmtId="166" fontId="7" fillId="23" borderId="0" xfId="0" applyNumberFormat="1" applyFont="1" applyFill="1" applyAlignment="1">
      <alignment horizontal="center"/>
    </xf>
    <xf numFmtId="166" fontId="7" fillId="23" borderId="37" xfId="0" applyNumberFormat="1" applyFont="1" applyFill="1" applyBorder="1" applyAlignment="1">
      <alignment horizontal="center"/>
    </xf>
    <xf numFmtId="166" fontId="33" fillId="23" borderId="0" xfId="9" applyNumberFormat="1" applyFont="1" applyFill="1" applyBorder="1" applyAlignment="1">
      <alignment horizontal="center"/>
    </xf>
    <xf numFmtId="166" fontId="7" fillId="23" borderId="38" xfId="0" applyNumberFormat="1" applyFont="1" applyFill="1" applyBorder="1" applyAlignment="1">
      <alignment horizontal="center"/>
    </xf>
    <xf numFmtId="166" fontId="7" fillId="23" borderId="4" xfId="0" applyNumberFormat="1" applyFont="1" applyFill="1" applyBorder="1" applyAlignment="1">
      <alignment horizontal="center"/>
    </xf>
    <xf numFmtId="166" fontId="34" fillId="23" borderId="6" xfId="0" applyNumberFormat="1" applyFont="1" applyFill="1" applyBorder="1" applyAlignment="1">
      <alignment horizontal="center"/>
    </xf>
    <xf numFmtId="166" fontId="7" fillId="23" borderId="39" xfId="0" applyNumberFormat="1" applyFont="1" applyFill="1" applyBorder="1" applyAlignment="1">
      <alignment horizontal="center"/>
    </xf>
    <xf numFmtId="166" fontId="7" fillId="23" borderId="40" xfId="0" applyNumberFormat="1" applyFont="1" applyFill="1" applyBorder="1" applyAlignment="1">
      <alignment horizontal="center"/>
    </xf>
    <xf numFmtId="166" fontId="34" fillId="23" borderId="9" xfId="0" applyNumberFormat="1" applyFont="1" applyFill="1" applyBorder="1" applyAlignment="1">
      <alignment horizontal="center"/>
    </xf>
    <xf numFmtId="166" fontId="7" fillId="17" borderId="32" xfId="0" applyNumberFormat="1" applyFont="1" applyFill="1" applyBorder="1" applyAlignment="1">
      <alignment horizontal="center"/>
    </xf>
    <xf numFmtId="166" fontId="7" fillId="23" borderId="2" xfId="0" applyNumberFormat="1" applyFont="1" applyFill="1" applyBorder="1" applyAlignment="1">
      <alignment horizontal="center"/>
    </xf>
    <xf numFmtId="166" fontId="7" fillId="23" borderId="32" xfId="0" applyNumberFormat="1" applyFont="1" applyFill="1" applyBorder="1" applyAlignment="1">
      <alignment horizontal="center"/>
    </xf>
    <xf numFmtId="166" fontId="7" fillId="23" borderId="33" xfId="0" applyNumberFormat="1" applyFont="1" applyFill="1" applyBorder="1" applyAlignment="1">
      <alignment horizontal="center"/>
    </xf>
    <xf numFmtId="166" fontId="34" fillId="23" borderId="12" xfId="0" applyNumberFormat="1" applyFont="1" applyFill="1" applyBorder="1" applyAlignment="1">
      <alignment horizontal="center"/>
    </xf>
    <xf numFmtId="166" fontId="7" fillId="23" borderId="34" xfId="0" applyNumberFormat="1" applyFont="1" applyFill="1" applyBorder="1" applyAlignment="1">
      <alignment horizontal="center"/>
    </xf>
    <xf numFmtId="166" fontId="7" fillId="23" borderId="35" xfId="0" applyNumberFormat="1" applyFont="1" applyFill="1" applyBorder="1" applyAlignment="1">
      <alignment horizontal="center"/>
    </xf>
    <xf numFmtId="166" fontId="33" fillId="23" borderId="38" xfId="9" applyNumberFormat="1" applyFont="1" applyFill="1" applyBorder="1" applyAlignment="1">
      <alignment horizontal="center"/>
    </xf>
    <xf numFmtId="0" fontId="29" fillId="18" borderId="41" xfId="0" applyFont="1" applyFill="1" applyBorder="1" applyAlignment="1">
      <alignment horizontal="center"/>
    </xf>
    <xf numFmtId="166" fontId="7" fillId="17" borderId="42" xfId="0" applyNumberFormat="1" applyFont="1" applyFill="1" applyBorder="1" applyAlignment="1">
      <alignment horizontal="center"/>
    </xf>
    <xf numFmtId="166" fontId="7" fillId="23" borderId="43" xfId="0" applyNumberFormat="1" applyFont="1" applyFill="1" applyBorder="1" applyAlignment="1">
      <alignment horizontal="center"/>
    </xf>
    <xf numFmtId="166" fontId="7" fillId="23" borderId="42" xfId="0" applyNumberFormat="1" applyFont="1" applyFill="1" applyBorder="1" applyAlignment="1">
      <alignment horizontal="center"/>
    </xf>
    <xf numFmtId="166" fontId="7" fillId="23" borderId="44" xfId="0" applyNumberFormat="1" applyFont="1" applyFill="1" applyBorder="1" applyAlignment="1">
      <alignment horizontal="center"/>
    </xf>
    <xf numFmtId="166" fontId="34" fillId="23" borderId="48" xfId="0" applyNumberFormat="1" applyFont="1" applyFill="1" applyBorder="1" applyAlignment="1">
      <alignment horizontal="center"/>
    </xf>
    <xf numFmtId="166" fontId="7" fillId="23" borderId="45" xfId="0" applyNumberFormat="1" applyFont="1" applyFill="1" applyBorder="1" applyAlignment="1">
      <alignment horizontal="center"/>
    </xf>
    <xf numFmtId="166" fontId="7" fillId="23" borderId="46" xfId="0" applyNumberFormat="1" applyFont="1" applyFill="1" applyBorder="1" applyAlignment="1">
      <alignment horizontal="center"/>
    </xf>
    <xf numFmtId="0" fontId="28" fillId="18" borderId="15" xfId="0" applyFont="1" applyFill="1" applyBorder="1"/>
    <xf numFmtId="0" fontId="8" fillId="19" borderId="15" xfId="0" applyFont="1" applyFill="1" applyBorder="1"/>
    <xf numFmtId="0" fontId="13" fillId="20" borderId="15" xfId="0" applyFont="1" applyFill="1" applyBorder="1" applyAlignment="1">
      <alignment horizontal="left"/>
    </xf>
    <xf numFmtId="0" fontId="29" fillId="20" borderId="1" xfId="0" applyFont="1" applyFill="1" applyBorder="1" applyAlignment="1">
      <alignment horizontal="left"/>
    </xf>
    <xf numFmtId="0" fontId="29" fillId="20" borderId="13" xfId="0" applyFont="1" applyFill="1" applyBorder="1" applyAlignment="1">
      <alignment horizontal="left"/>
    </xf>
    <xf numFmtId="0" fontId="29" fillId="20" borderId="1" xfId="0" applyFont="1" applyFill="1" applyBorder="1" applyAlignment="1">
      <alignment horizontal="center"/>
    </xf>
    <xf numFmtId="0" fontId="13" fillId="21" borderId="1" xfId="0" applyFont="1" applyFill="1" applyBorder="1"/>
    <xf numFmtId="0" fontId="29" fillId="18" borderId="3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22" borderId="5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left"/>
    </xf>
    <xf numFmtId="0" fontId="29" fillId="18" borderId="10" xfId="0" applyFont="1" applyFill="1" applyBorder="1" applyAlignment="1">
      <alignment horizontal="center"/>
    </xf>
    <xf numFmtId="0" fontId="31" fillId="22" borderId="10" xfId="0" applyFont="1" applyFill="1" applyBorder="1" applyAlignment="1">
      <alignment horizontal="center"/>
    </xf>
    <xf numFmtId="0" fontId="31" fillId="22" borderId="11" xfId="0" applyFont="1" applyFill="1" applyBorder="1" applyAlignment="1">
      <alignment horizontal="center"/>
    </xf>
    <xf numFmtId="0" fontId="29" fillId="18" borderId="7" xfId="0" applyFont="1" applyFill="1" applyBorder="1" applyAlignment="1">
      <alignment horizontal="center"/>
    </xf>
    <xf numFmtId="166" fontId="7" fillId="23" borderId="7" xfId="0" applyNumberFormat="1" applyFont="1" applyFill="1" applyBorder="1" applyAlignment="1">
      <alignment horizontal="center"/>
    </xf>
    <xf numFmtId="166" fontId="33" fillId="16" borderId="4" xfId="9" applyNumberFormat="1" applyFont="1" applyBorder="1" applyAlignment="1">
      <alignment horizontal="center"/>
    </xf>
    <xf numFmtId="166" fontId="33" fillId="23" borderId="8" xfId="9" applyNumberFormat="1" applyFont="1" applyFill="1" applyBorder="1" applyAlignment="1">
      <alignment horizontal="center"/>
    </xf>
    <xf numFmtId="166" fontId="34" fillId="23" borderId="7" xfId="0" applyNumberFormat="1" applyFont="1" applyFill="1" applyBorder="1" applyAlignment="1">
      <alignment horizontal="center"/>
    </xf>
    <xf numFmtId="166" fontId="7" fillId="23" borderId="8" xfId="0" applyNumberFormat="1" applyFont="1" applyFill="1" applyBorder="1" applyAlignment="1">
      <alignment horizontal="center"/>
    </xf>
    <xf numFmtId="0" fontId="29" fillId="18" borderId="12" xfId="0" applyFont="1" applyFill="1" applyBorder="1" applyAlignment="1">
      <alignment horizontal="center"/>
    </xf>
    <xf numFmtId="166" fontId="7" fillId="23" borderId="10" xfId="0" applyNumberFormat="1" applyFont="1" applyFill="1" applyBorder="1" applyAlignment="1">
      <alignment horizontal="center"/>
    </xf>
    <xf numFmtId="166" fontId="7" fillId="23" borderId="11" xfId="0" applyNumberFormat="1" applyFont="1" applyFill="1" applyBorder="1" applyAlignment="1">
      <alignment horizontal="center"/>
    </xf>
    <xf numFmtId="166" fontId="34" fillId="23" borderId="10" xfId="0" applyNumberFormat="1" applyFont="1" applyFill="1" applyBorder="1" applyAlignment="1">
      <alignment horizontal="center"/>
    </xf>
    <xf numFmtId="166" fontId="7" fillId="23" borderId="3" xfId="0" applyNumberFormat="1" applyFont="1" applyFill="1" applyBorder="1" applyAlignment="1">
      <alignment horizontal="center"/>
    </xf>
    <xf numFmtId="166" fontId="7" fillId="23" borderId="5" xfId="0" applyNumberFormat="1" applyFont="1" applyFill="1" applyBorder="1" applyAlignment="1">
      <alignment horizontal="center"/>
    </xf>
    <xf numFmtId="166" fontId="7" fillId="23" borderId="25" xfId="0" applyNumberFormat="1" applyFont="1" applyFill="1" applyBorder="1" applyAlignment="1">
      <alignment horizontal="center"/>
    </xf>
    <xf numFmtId="166" fontId="33" fillId="23" borderId="4" xfId="9" applyNumberFormat="1" applyFont="1" applyFill="1" applyBorder="1" applyAlignment="1">
      <alignment horizontal="center"/>
    </xf>
    <xf numFmtId="166" fontId="34" fillId="23" borderId="0" xfId="0" applyNumberFormat="1" applyFont="1" applyFill="1" applyAlignment="1">
      <alignment horizontal="center"/>
    </xf>
    <xf numFmtId="1" fontId="29" fillId="18" borderId="7" xfId="0" applyNumberFormat="1" applyFont="1" applyFill="1" applyBorder="1" applyAlignment="1">
      <alignment horizontal="center"/>
    </xf>
    <xf numFmtId="0" fontId="29" fillId="18" borderId="47" xfId="0" applyFont="1" applyFill="1" applyBorder="1" applyAlignment="1">
      <alignment horizontal="center"/>
    </xf>
    <xf numFmtId="166" fontId="34" fillId="23" borderId="4" xfId="0" applyNumberFormat="1" applyFont="1" applyFill="1" applyBorder="1" applyAlignment="1">
      <alignment horizontal="center"/>
    </xf>
    <xf numFmtId="166" fontId="34" fillId="23" borderId="2" xfId="0" applyNumberFormat="1" applyFont="1" applyFill="1" applyBorder="1" applyAlignment="1">
      <alignment horizontal="center"/>
    </xf>
  </cellXfs>
  <cellStyles count="11">
    <cellStyle name="Comma" xfId="10" builtinId="3"/>
    <cellStyle name="Comma [0] 2" xfId="8" xr:uid="{EA5F390D-5036-BA44-A9A4-B8BD7DD72802}"/>
    <cellStyle name="Comma 3" xfId="5" xr:uid="{0FBBE878-2F51-4745-8265-D2E1ADE461F3}"/>
    <cellStyle name="Good" xfId="2" builtinId="26"/>
    <cellStyle name="Normal" xfId="0" builtinId="0"/>
    <cellStyle name="Normal 2" xfId="1" xr:uid="{EAE29AF0-A3B1-4343-BBEA-DC8029EC77D4}"/>
    <cellStyle name="Normal 2 2" xfId="3" xr:uid="{2CCA88D7-843E-C646-AA44-BF75640D4D71}"/>
    <cellStyle name="Normal 2 3" xfId="6" xr:uid="{B79C0959-56A5-4947-B821-8D300C7A942D}"/>
    <cellStyle name="Normal 3" xfId="4" xr:uid="{6C9D964B-30CF-FA42-93EB-85E02D8BFF82}"/>
    <cellStyle name="Normal 4" xfId="7" xr:uid="{30A7A124-E371-E94C-99EA-B42E798692A9}"/>
    <cellStyle name="Note 2" xfId="9" xr:uid="{A6C89F0F-7ADD-5B4F-9323-401AF9162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Shelly\Documents\Genesis\DFPT%20Fruit%20and%20Wine%20Standard\calculator\colors%20data\Copy%20of%20Footprint%20Expert%20Model%20Framework%20V3%20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Shelly\AppData\Local\Microsoft\Windows\Temporary%20Internet%20Files\Content.Outlook\RWD3SRR2\LSA%20Protocol\LSA%20Carbon%20Protoc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Documents%20and%20Settings\Tony\My%20Documents\References\Calculation%20tools%20-%20GHG%20Protocol\Cross-sector\Mobile%20combustion\co2-mob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 Names"/>
      <sheetName val="Sea Backend"/>
      <sheetName val="CarbonTrust Database"/>
      <sheetName val="EoL Backend"/>
      <sheetName val="Road BACKEND"/>
      <sheetName val="Store Backend"/>
      <sheetName val="Rail Backend"/>
      <sheetName val="Mat EF BACKEND"/>
      <sheetName val="Air Backend"/>
      <sheetName val="RDC Backend"/>
      <sheetName val="Domestic Refrig Backend"/>
      <sheetName val="Cooking_Backend"/>
      <sheetName val="Combined"/>
      <sheetName val="Agrochems"/>
      <sheetName val="CCC weighting table"/>
      <sheetName val="LSA EFs"/>
    </sheetNames>
    <sheetDataSet>
      <sheetData sheetId="0" refreshError="1">
        <row r="19">
          <cell r="A19" t="str">
            <v>Footprint Expert Calculator</v>
          </cell>
        </row>
        <row r="68">
          <cell r="A68" t="str">
            <v>Rail Emissions Factor</v>
          </cell>
        </row>
        <row r="76">
          <cell r="A76" t="str">
            <v>Material Emission Factor Calculator</v>
          </cell>
          <cell r="B76" t="str">
            <v>Recycling_Unique_Names</v>
          </cell>
          <cell r="C76" t="str">
            <v>Recycling_Results_LU</v>
          </cell>
          <cell r="D76" t="str">
            <v>kg CO2(e)/kg</v>
          </cell>
        </row>
        <row r="77">
          <cell r="A77" t="str">
            <v>Carbon Storage &amp; End of Life</v>
          </cell>
          <cell r="B77" t="str">
            <v>EOL_Unique3</v>
          </cell>
          <cell r="C77" t="str">
            <v>EOL_Results_LU</v>
          </cell>
          <cell r="D77" t="str">
            <v>kg CO2(e)/kg</v>
          </cell>
        </row>
        <row r="78">
          <cell r="A78" t="str">
            <v>Cooking Calculator</v>
          </cell>
          <cell r="B78" t="str">
            <v>cooking_unique_name</v>
          </cell>
          <cell r="C78" t="str">
            <v>Cooking_Results_lu</v>
          </cell>
          <cell r="D78" t="str">
            <v>kg CO2(e)/cooking event</v>
          </cell>
        </row>
        <row r="79">
          <cell r="A79" t="str">
            <v>Supermarket Calculator</v>
          </cell>
          <cell r="B79" t="str">
            <v>Store_Unique</v>
          </cell>
          <cell r="C79" t="str">
            <v>Store_Results_Lu</v>
          </cell>
          <cell r="D79" t="str">
            <v>kg CO2(e)/storage event</v>
          </cell>
        </row>
        <row r="80">
          <cell r="A80" t="str">
            <v>Domestic Refrigeration</v>
          </cell>
          <cell r="B80" t="str">
            <v>DomRefrig_Unique</v>
          </cell>
          <cell r="C80" t="str">
            <v>DomRefrig_Results_LU</v>
          </cell>
          <cell r="D80" t="str">
            <v>kg CO2(e)/storage event</v>
          </cell>
        </row>
        <row r="81">
          <cell r="A81" t="str">
            <v>RDC Calculator</v>
          </cell>
          <cell r="B81" t="str">
            <v>RDC_Unique</v>
          </cell>
          <cell r="C81" t="str">
            <v>RDC_Results_LU</v>
          </cell>
          <cell r="D81" t="str">
            <v>kg CO2(e)/kg</v>
          </cell>
        </row>
      </sheetData>
      <sheetData sheetId="1" refreshError="1">
        <row r="52">
          <cell r="A52" t="str">
            <v>Chilled</v>
          </cell>
          <cell r="B52" t="str">
            <v>Additional fuel use for Chilled Products - Container Ship</v>
          </cell>
          <cell r="C52">
            <v>3.8306251635483554E-2</v>
          </cell>
          <cell r="D52" t="str">
            <v>kg CO2/container/km</v>
          </cell>
          <cell r="E52" t="str">
            <v>Refrigerant loss from sea freight</v>
          </cell>
          <cell r="F52">
            <v>3.4843995730782736E-3</v>
          </cell>
        </row>
        <row r="53">
          <cell r="A53" t="str">
            <v>Frozen</v>
          </cell>
          <cell r="B53" t="str">
            <v>Additional fuel use for Frozen Products - Container Ship</v>
          </cell>
          <cell r="C53">
            <v>1.5322500654193423E-2</v>
          </cell>
          <cell r="D53" t="str">
            <v>kg CO2/tonne/km</v>
          </cell>
          <cell r="E53" t="str">
            <v>Refrigerant loss from sea freight</v>
          </cell>
          <cell r="F53">
            <v>3.4843995730782736E-3</v>
          </cell>
        </row>
        <row r="54">
          <cell r="A54" t="str">
            <v>Ambient</v>
          </cell>
          <cell r="C54">
            <v>0</v>
          </cell>
          <cell r="F54">
            <v>0</v>
          </cell>
        </row>
        <row r="59">
          <cell r="B59" t="str">
            <v>Containerised</v>
          </cell>
        </row>
      </sheetData>
      <sheetData sheetId="2" refreshError="1">
        <row r="1">
          <cell r="F1" t="str">
            <v>Unique Name</v>
          </cell>
          <cell r="G1" t="str">
            <v>Datapoint</v>
          </cell>
          <cell r="H1" t="str">
            <v>Units</v>
          </cell>
          <cell r="BG1" t="str">
            <v>Data Group 2</v>
          </cell>
        </row>
        <row r="2">
          <cell r="F2" t="str">
            <v>Days per Year</v>
          </cell>
          <cell r="G2">
            <v>365.25</v>
          </cell>
          <cell r="H2" t="str">
            <v>days/year</v>
          </cell>
        </row>
        <row r="3">
          <cell r="F3" t="str">
            <v>Days per Week</v>
          </cell>
          <cell r="G3">
            <v>7</v>
          </cell>
          <cell r="H3" t="str">
            <v>days/week</v>
          </cell>
        </row>
        <row r="4">
          <cell r="F4" t="str">
            <v>Hours per Day</v>
          </cell>
          <cell r="G4">
            <v>24</v>
          </cell>
          <cell r="H4" t="str">
            <v>hours/day</v>
          </cell>
        </row>
        <row r="5">
          <cell r="F5" t="str">
            <v>Hours per week</v>
          </cell>
          <cell r="G5">
            <v>168</v>
          </cell>
          <cell r="H5" t="str">
            <v>hours/week</v>
          </cell>
        </row>
        <row r="6">
          <cell r="F6" t="str">
            <v>Weeks per year</v>
          </cell>
          <cell r="G6">
            <v>52</v>
          </cell>
          <cell r="H6" t="str">
            <v>weeks/year</v>
          </cell>
        </row>
        <row r="7">
          <cell r="F7" t="str">
            <v>Months per year</v>
          </cell>
          <cell r="G7">
            <v>12</v>
          </cell>
          <cell r="H7" t="str">
            <v>months/year</v>
          </cell>
        </row>
        <row r="8">
          <cell r="F8" t="str">
            <v>Weeks per month</v>
          </cell>
          <cell r="G8">
            <v>4.333333333333333</v>
          </cell>
          <cell r="H8" t="str">
            <v>weeks/month</v>
          </cell>
        </row>
        <row r="9">
          <cell r="F9" t="str">
            <v>Hours per year</v>
          </cell>
          <cell r="G9">
            <v>8766</v>
          </cell>
          <cell r="H9" t="str">
            <v>hours/year</v>
          </cell>
        </row>
        <row r="10">
          <cell r="F10" t="str">
            <v>Atomic Mass of C</v>
          </cell>
          <cell r="G10">
            <v>12</v>
          </cell>
        </row>
        <row r="11">
          <cell r="F11" t="str">
            <v>Atomic Mass of N</v>
          </cell>
          <cell r="G11">
            <v>14</v>
          </cell>
        </row>
        <row r="12">
          <cell r="F12" t="str">
            <v>Atomic Mass of O</v>
          </cell>
          <cell r="G12">
            <v>16</v>
          </cell>
        </row>
        <row r="13">
          <cell r="F13" t="str">
            <v>Atomic Mass of H</v>
          </cell>
          <cell r="G13">
            <v>1</v>
          </cell>
        </row>
        <row r="14">
          <cell r="F14" t="str">
            <v>kg CO2 to kg C</v>
          </cell>
          <cell r="G14">
            <v>0.27272727272727271</v>
          </cell>
        </row>
        <row r="15">
          <cell r="F15" t="str">
            <v>kg C to kg CO2</v>
          </cell>
          <cell r="G15">
            <v>3.666666666666667</v>
          </cell>
        </row>
        <row r="16">
          <cell r="F16" t="str">
            <v>kg CO to kg C</v>
          </cell>
          <cell r="G16">
            <v>0.42857142857142855</v>
          </cell>
        </row>
        <row r="17">
          <cell r="F17" t="str">
            <v>kg C to kg CO</v>
          </cell>
          <cell r="G17">
            <v>2.3333333333333335</v>
          </cell>
        </row>
        <row r="18">
          <cell r="F18" t="str">
            <v>kg CH4 to kg C</v>
          </cell>
          <cell r="G18">
            <v>0.75</v>
          </cell>
        </row>
        <row r="19">
          <cell r="F19" t="str">
            <v>kg C to kg CH4</v>
          </cell>
          <cell r="G19">
            <v>1.3333333333333333</v>
          </cell>
        </row>
        <row r="20">
          <cell r="F20" t="str">
            <v>Kcal to Kilojoule</v>
          </cell>
          <cell r="G20">
            <v>4.1840000000000002</v>
          </cell>
          <cell r="H20" t="str">
            <v>Kj/kcal</v>
          </cell>
        </row>
        <row r="21">
          <cell r="F21" t="str">
            <v>Universal gas constant</v>
          </cell>
          <cell r="G21">
            <v>8.3145000000000007</v>
          </cell>
          <cell r="H21" t="str">
            <v>J/mol K</v>
          </cell>
        </row>
        <row r="22">
          <cell r="F22" t="str">
            <v>UK gallon to US gallon</v>
          </cell>
          <cell r="G22">
            <v>1.2010000000000001</v>
          </cell>
          <cell r="H22" t="str">
            <v>US gallon/UK gallon</v>
          </cell>
        </row>
        <row r="23">
          <cell r="F23" t="str">
            <v>kg to lb</v>
          </cell>
          <cell r="G23">
            <v>2.2046000000000001</v>
          </cell>
          <cell r="H23" t="str">
            <v>lb/kg</v>
          </cell>
        </row>
        <row r="24">
          <cell r="F24" t="str">
            <v>lb to kg</v>
          </cell>
          <cell r="G24">
            <v>0.4535970244035199</v>
          </cell>
          <cell r="H24" t="str">
            <v>kg/lb</v>
          </cell>
        </row>
        <row r="25">
          <cell r="F25" t="str">
            <v>miles to km</v>
          </cell>
          <cell r="G25">
            <v>1.6093440000000001</v>
          </cell>
          <cell r="H25" t="str">
            <v>km/mile</v>
          </cell>
        </row>
        <row r="26">
          <cell r="F26" t="str">
            <v>km to miles</v>
          </cell>
          <cell r="G26">
            <v>0.62137119223733395</v>
          </cell>
          <cell r="H26" t="str">
            <v>mile/km</v>
          </cell>
        </row>
        <row r="27">
          <cell r="F27" t="str">
            <v>tonnes to kg</v>
          </cell>
          <cell r="G27">
            <v>1000</v>
          </cell>
          <cell r="H27" t="str">
            <v>kg/tonne</v>
          </cell>
        </row>
        <row r="28">
          <cell r="F28" t="str">
            <v>kg to tonnes</v>
          </cell>
          <cell r="G28">
            <v>1E-3</v>
          </cell>
          <cell r="H28" t="str">
            <v>tonnes/kg</v>
          </cell>
        </row>
        <row r="29">
          <cell r="F29" t="str">
            <v>Kilowatt-hour to Kilojoule</v>
          </cell>
          <cell r="G29">
            <v>3600</v>
          </cell>
          <cell r="H29" t="str">
            <v>kJ/kWh</v>
          </cell>
        </row>
        <row r="30">
          <cell r="F30" t="str">
            <v>Kilojoule to Kilowatt-hour</v>
          </cell>
          <cell r="G30">
            <v>2.7777777777777778E-4</v>
          </cell>
          <cell r="H30" t="str">
            <v>kWh/kJ</v>
          </cell>
        </row>
        <row r="31">
          <cell r="F31" t="str">
            <v>m3 to litres</v>
          </cell>
          <cell r="G31">
            <v>1000</v>
          </cell>
          <cell r="H31" t="str">
            <v>L/m3</v>
          </cell>
        </row>
        <row r="32">
          <cell r="F32" t="str">
            <v>feet to metres</v>
          </cell>
          <cell r="G32">
            <v>0.30480000000000002</v>
          </cell>
          <cell r="H32" t="str">
            <v>m/ft</v>
          </cell>
        </row>
        <row r="33">
          <cell r="F33" t="str">
            <v>feet3 to metres3</v>
          </cell>
          <cell r="G33">
            <v>2.8316846592000004E-2</v>
          </cell>
          <cell r="H33" t="str">
            <v>m3/ft3</v>
          </cell>
        </row>
        <row r="34">
          <cell r="F34" t="str">
            <v>Nautical Miles to Km</v>
          </cell>
          <cell r="G34">
            <v>1.8520000000000001</v>
          </cell>
          <cell r="H34" t="str">
            <v>Km/Nm</v>
          </cell>
        </row>
        <row r="35">
          <cell r="F35" t="str">
            <v>Knots to Km per hour</v>
          </cell>
          <cell r="G35">
            <v>1.8520000000000001</v>
          </cell>
          <cell r="H35" t="str">
            <v>Km/h/Knots</v>
          </cell>
        </row>
        <row r="36">
          <cell r="F36" t="str">
            <v>Atmospheric Pressure</v>
          </cell>
          <cell r="G36">
            <v>101325</v>
          </cell>
          <cell r="H36" t="str">
            <v>Pa</v>
          </cell>
        </row>
        <row r="37">
          <cell r="F37" t="str">
            <v>MPG (UK) to km/litre</v>
          </cell>
          <cell r="G37">
            <v>0.35399999999999998</v>
          </cell>
          <cell r="H37" t="str">
            <v>km/litre / mile/gallon (UK)</v>
          </cell>
        </row>
        <row r="38">
          <cell r="F38" t="str">
            <v>MPG (US) to km/litre</v>
          </cell>
          <cell r="G38">
            <v>0.42499999999999999</v>
          </cell>
          <cell r="H38" t="str">
            <v>km/litre / mile/gallon (US)</v>
          </cell>
        </row>
        <row r="39">
          <cell r="F39" t="str">
            <v>km/litre to MPG (UK)</v>
          </cell>
          <cell r="G39">
            <v>2.8250000000000002</v>
          </cell>
          <cell r="H39" t="str">
            <v>mile/gallon (UK) / km/litre</v>
          </cell>
        </row>
        <row r="40">
          <cell r="F40" t="str">
            <v>km/litre to MPG (US)</v>
          </cell>
          <cell r="G40">
            <v>2.3530000000000002</v>
          </cell>
          <cell r="H40" t="str">
            <v>mile/gallon (US) / km/litre</v>
          </cell>
        </row>
        <row r="41">
          <cell r="F41" t="str">
            <v>GWP: Carbon Dioxide (CO2)</v>
          </cell>
          <cell r="G41">
            <v>1</v>
          </cell>
          <cell r="H41" t="str">
            <v>kg CO2e/kg</v>
          </cell>
        </row>
        <row r="42">
          <cell r="F42" t="str">
            <v>GWP: Fossil Methane (CH4)</v>
          </cell>
          <cell r="G42">
            <v>25</v>
          </cell>
          <cell r="H42" t="str">
            <v>kg CO2e/kg</v>
          </cell>
        </row>
        <row r="43">
          <cell r="F43" t="str">
            <v>GWP: Biogenic Methane (CH4)</v>
          </cell>
          <cell r="G43">
            <v>22.25</v>
          </cell>
          <cell r="H43" t="str">
            <v>kg CO2e/kg</v>
          </cell>
        </row>
        <row r="44">
          <cell r="F44" t="str">
            <v>GWP: Nitrous Oxide (N2O)</v>
          </cell>
          <cell r="G44">
            <v>298</v>
          </cell>
          <cell r="H44" t="str">
            <v>kg CO2e/kg</v>
          </cell>
        </row>
        <row r="45">
          <cell r="F45" t="str">
            <v>GWP: HCFC-22</v>
          </cell>
          <cell r="G45">
            <v>1810</v>
          </cell>
          <cell r="H45" t="str">
            <v>kg CO2e/kg</v>
          </cell>
        </row>
        <row r="46">
          <cell r="F46" t="str">
            <v>GWP: HCFC-142b</v>
          </cell>
          <cell r="G46">
            <v>2310</v>
          </cell>
          <cell r="H46" t="str">
            <v>kg CO2e/kg</v>
          </cell>
        </row>
        <row r="47">
          <cell r="F47" t="str">
            <v>GWP: CFC-11</v>
          </cell>
          <cell r="G47">
            <v>4750</v>
          </cell>
          <cell r="H47" t="str">
            <v>kg CO2e/kg</v>
          </cell>
        </row>
        <row r="48">
          <cell r="F48" t="str">
            <v>GWP: CFC-12</v>
          </cell>
          <cell r="G48">
            <v>10900</v>
          </cell>
          <cell r="H48" t="str">
            <v>kg CO2e/kg</v>
          </cell>
        </row>
        <row r="49">
          <cell r="F49" t="str">
            <v>GWP: CFC-13</v>
          </cell>
          <cell r="G49">
            <v>14400</v>
          </cell>
          <cell r="H49" t="str">
            <v>kg CO2e/kg</v>
          </cell>
        </row>
        <row r="50">
          <cell r="F50" t="str">
            <v>GWP: CFC-113</v>
          </cell>
          <cell r="G50">
            <v>6130</v>
          </cell>
          <cell r="H50" t="str">
            <v>kg CO2e/kg</v>
          </cell>
        </row>
        <row r="51">
          <cell r="F51" t="str">
            <v>GWP: CFC-114</v>
          </cell>
          <cell r="G51">
            <v>10000</v>
          </cell>
          <cell r="H51" t="str">
            <v>kg CO2e/kg</v>
          </cell>
        </row>
        <row r="52">
          <cell r="F52" t="str">
            <v>GWP: CFC-115</v>
          </cell>
          <cell r="G52">
            <v>7370</v>
          </cell>
          <cell r="H52" t="str">
            <v>kg CO2e/kg</v>
          </cell>
        </row>
        <row r="53">
          <cell r="F53" t="str">
            <v>GWP: Halon-1301</v>
          </cell>
          <cell r="G53">
            <v>7140</v>
          </cell>
          <cell r="H53" t="str">
            <v>kg CO2e/kg</v>
          </cell>
        </row>
        <row r="54">
          <cell r="F54" t="str">
            <v>GWP: Halon-1211</v>
          </cell>
          <cell r="G54">
            <v>1890</v>
          </cell>
          <cell r="H54" t="str">
            <v>kg CO2e/kg</v>
          </cell>
        </row>
        <row r="55">
          <cell r="F55" t="str">
            <v>GWP: Halon-2402</v>
          </cell>
          <cell r="G55">
            <v>1640</v>
          </cell>
          <cell r="H55" t="str">
            <v>kg CO2e/kg</v>
          </cell>
        </row>
        <row r="56">
          <cell r="F56" t="str">
            <v>GWP: Carbon Tetrachloride</v>
          </cell>
          <cell r="G56">
            <v>1400</v>
          </cell>
          <cell r="H56" t="str">
            <v>kg CO2e/kg</v>
          </cell>
        </row>
        <row r="57">
          <cell r="F57" t="str">
            <v>GWP: Methyl Bromide</v>
          </cell>
          <cell r="G57">
            <v>5</v>
          </cell>
          <cell r="H57" t="str">
            <v>kg CO2e/kg</v>
          </cell>
        </row>
        <row r="58">
          <cell r="F58" t="str">
            <v>GWP:Methyl chloroform</v>
          </cell>
          <cell r="G58">
            <v>146</v>
          </cell>
          <cell r="H58" t="str">
            <v>kg CO2e/kg</v>
          </cell>
        </row>
        <row r="59">
          <cell r="F59" t="str">
            <v>GWP: HCFC-123</v>
          </cell>
          <cell r="G59">
            <v>77</v>
          </cell>
          <cell r="H59" t="str">
            <v>kg CO2e/kg</v>
          </cell>
        </row>
        <row r="60">
          <cell r="F60" t="str">
            <v>GWP: HCFC-124</v>
          </cell>
          <cell r="G60">
            <v>609</v>
          </cell>
          <cell r="H60" t="str">
            <v>kg CO2e/kg</v>
          </cell>
        </row>
        <row r="61">
          <cell r="F61" t="str">
            <v>GWP: HCFC-141b</v>
          </cell>
          <cell r="G61">
            <v>725</v>
          </cell>
          <cell r="H61" t="str">
            <v>kg CO2e/kg</v>
          </cell>
        </row>
        <row r="62">
          <cell r="F62" t="str">
            <v>GWP: HCFC-225ca</v>
          </cell>
          <cell r="G62">
            <v>122</v>
          </cell>
          <cell r="H62" t="str">
            <v>kg CO2e/kg</v>
          </cell>
        </row>
        <row r="63">
          <cell r="F63" t="str">
            <v>GWP: HCFC-225cb</v>
          </cell>
          <cell r="G63">
            <v>595</v>
          </cell>
          <cell r="H63" t="str">
            <v>kg CO2e/kg</v>
          </cell>
        </row>
        <row r="64">
          <cell r="F64" t="str">
            <v>GWP: HFC-23</v>
          </cell>
          <cell r="G64">
            <v>14800</v>
          </cell>
          <cell r="H64" t="str">
            <v>kg CO2e/kg</v>
          </cell>
        </row>
        <row r="65">
          <cell r="F65" t="str">
            <v>GWP: HFC-32</v>
          </cell>
          <cell r="G65">
            <v>675</v>
          </cell>
          <cell r="H65" t="str">
            <v>kg CO2e/kg</v>
          </cell>
        </row>
        <row r="66">
          <cell r="F66" t="str">
            <v>GWP: HFC-125</v>
          </cell>
          <cell r="G66">
            <v>3500</v>
          </cell>
          <cell r="H66" t="str">
            <v>kg CO2e/kg</v>
          </cell>
        </row>
        <row r="67">
          <cell r="F67" t="str">
            <v>GWP: HFC-134a</v>
          </cell>
          <cell r="G67">
            <v>1430</v>
          </cell>
          <cell r="H67" t="str">
            <v>kg CO2e/kg</v>
          </cell>
        </row>
        <row r="68">
          <cell r="F68" t="str">
            <v>GWP: HFC-143a</v>
          </cell>
          <cell r="G68">
            <v>4470</v>
          </cell>
          <cell r="H68" t="str">
            <v>kg CO2e/kg</v>
          </cell>
        </row>
        <row r="69">
          <cell r="F69" t="str">
            <v>GWP: HFC-152a</v>
          </cell>
          <cell r="G69">
            <v>124</v>
          </cell>
          <cell r="H69" t="str">
            <v>kg CO2e/kg</v>
          </cell>
        </row>
        <row r="70">
          <cell r="F70" t="str">
            <v>GWP: HFC-227ea</v>
          </cell>
          <cell r="G70">
            <v>3220</v>
          </cell>
          <cell r="H70" t="str">
            <v>kg CO2e/kg</v>
          </cell>
        </row>
        <row r="71">
          <cell r="F71" t="str">
            <v>GWP: HFC-236fa</v>
          </cell>
          <cell r="G71">
            <v>9810</v>
          </cell>
          <cell r="H71" t="str">
            <v>kg CO2e/kg</v>
          </cell>
        </row>
        <row r="72">
          <cell r="F72" t="str">
            <v>GWP: HFC-245fa</v>
          </cell>
          <cell r="G72">
            <v>1030</v>
          </cell>
          <cell r="H72" t="str">
            <v>kg CO2e/kg</v>
          </cell>
        </row>
        <row r="73">
          <cell r="F73" t="str">
            <v>GWP: HFC-365mfc</v>
          </cell>
          <cell r="G73">
            <v>794</v>
          </cell>
          <cell r="H73" t="str">
            <v>kg CO2e/kg</v>
          </cell>
        </row>
        <row r="74">
          <cell r="F74" t="str">
            <v>GWP: HFC-43-10mee</v>
          </cell>
          <cell r="G74">
            <v>1640</v>
          </cell>
          <cell r="H74" t="str">
            <v>kg CO2e/kg</v>
          </cell>
        </row>
        <row r="75">
          <cell r="F75" t="str">
            <v>GWP: Sulphur hexafluoride (SF6)</v>
          </cell>
          <cell r="G75">
            <v>22800</v>
          </cell>
          <cell r="H75" t="str">
            <v>kg CO2e/kg</v>
          </cell>
        </row>
        <row r="76">
          <cell r="F76" t="str">
            <v>GWP: Nitrogen trifluoride (NF3)</v>
          </cell>
          <cell r="G76">
            <v>17200</v>
          </cell>
          <cell r="H76" t="str">
            <v>kg CO2e/kg</v>
          </cell>
        </row>
        <row r="77">
          <cell r="F77" t="str">
            <v>GWP: Perfluoromethane (CF4) PFC-14</v>
          </cell>
          <cell r="G77">
            <v>7390</v>
          </cell>
          <cell r="H77" t="str">
            <v>kg CO2e/kg</v>
          </cell>
        </row>
        <row r="78">
          <cell r="F78" t="str">
            <v>GWP: Perfluoroethane (C2F6) PFC-116</v>
          </cell>
          <cell r="G78">
            <v>12200</v>
          </cell>
          <cell r="H78" t="str">
            <v>kg CO2e/kg</v>
          </cell>
        </row>
        <row r="79">
          <cell r="F79" t="str">
            <v>GWP: PFC-218</v>
          </cell>
          <cell r="G79">
            <v>8830</v>
          </cell>
          <cell r="H79" t="str">
            <v>kg CO2e/kg</v>
          </cell>
        </row>
        <row r="80">
          <cell r="F80" t="str">
            <v>GWP: PFC-318</v>
          </cell>
          <cell r="G80">
            <v>10300</v>
          </cell>
          <cell r="H80" t="str">
            <v>kg CO2e/kg</v>
          </cell>
        </row>
        <row r="81">
          <cell r="F81" t="str">
            <v>GWP: PFC-3-1-10</v>
          </cell>
          <cell r="G81">
            <v>8860</v>
          </cell>
          <cell r="H81" t="str">
            <v>kg CO2e/kg</v>
          </cell>
        </row>
        <row r="82">
          <cell r="F82" t="str">
            <v>GWP: PFC-4-1-12</v>
          </cell>
          <cell r="G82">
            <v>9160</v>
          </cell>
          <cell r="H82" t="str">
            <v>kg CO2e/kg</v>
          </cell>
        </row>
        <row r="83">
          <cell r="F83" t="str">
            <v>GWP: PFC-5-1-14</v>
          </cell>
          <cell r="G83">
            <v>9300</v>
          </cell>
          <cell r="H83" t="str">
            <v>kg CO2e/kg</v>
          </cell>
        </row>
        <row r="84">
          <cell r="F84" t="str">
            <v>GWP: PFC-9-1-18</v>
          </cell>
          <cell r="G84" t="str">
            <v>&gt;7500</v>
          </cell>
          <cell r="H84" t="str">
            <v>kg CO2e/kg</v>
          </cell>
        </row>
        <row r="85">
          <cell r="F85" t="str">
            <v>GWP:Trifluoromethyl sulphur pentafluoride (SF5CF3)</v>
          </cell>
          <cell r="G85">
            <v>17700</v>
          </cell>
          <cell r="H85" t="str">
            <v>kg CO2e/kg</v>
          </cell>
        </row>
        <row r="86">
          <cell r="F86" t="str">
            <v>GWP: HFE-125</v>
          </cell>
          <cell r="G86">
            <v>14900</v>
          </cell>
          <cell r="H86" t="str">
            <v>kg CO2e/kg</v>
          </cell>
        </row>
        <row r="87">
          <cell r="F87" t="str">
            <v>GWP: HFE-134</v>
          </cell>
          <cell r="G87">
            <v>6320</v>
          </cell>
          <cell r="H87" t="str">
            <v>kg CO2e/kg</v>
          </cell>
        </row>
        <row r="88">
          <cell r="F88" t="str">
            <v>GWP: HFE-143a</v>
          </cell>
          <cell r="G88">
            <v>756</v>
          </cell>
          <cell r="H88" t="str">
            <v>kg CO2e/kg</v>
          </cell>
        </row>
        <row r="89">
          <cell r="F89" t="str">
            <v>GWP: HCFE- 235da2</v>
          </cell>
          <cell r="G89">
            <v>350</v>
          </cell>
          <cell r="H89" t="str">
            <v>kg CO2e/kg</v>
          </cell>
        </row>
        <row r="90">
          <cell r="F90" t="str">
            <v>GWP: HFE-245cb2</v>
          </cell>
          <cell r="G90">
            <v>708</v>
          </cell>
          <cell r="H90" t="str">
            <v>kg CO2e/kg</v>
          </cell>
        </row>
        <row r="91">
          <cell r="F91" t="str">
            <v>GWP: HFE-245fa2</v>
          </cell>
          <cell r="G91">
            <v>659</v>
          </cell>
          <cell r="H91" t="str">
            <v>kg CO2e/kg</v>
          </cell>
        </row>
        <row r="92">
          <cell r="F92" t="str">
            <v>GWP: HFE-254cb2</v>
          </cell>
          <cell r="G92">
            <v>259</v>
          </cell>
          <cell r="H92" t="str">
            <v>kg CO2e/kg</v>
          </cell>
        </row>
        <row r="93">
          <cell r="F93" t="str">
            <v>GWP: HFE-347mcc3</v>
          </cell>
          <cell r="G93">
            <v>575</v>
          </cell>
          <cell r="H93" t="str">
            <v>kg CO2e/kg</v>
          </cell>
        </row>
        <row r="94">
          <cell r="F94" t="str">
            <v>GWP: HFE-347pcf2</v>
          </cell>
          <cell r="G94">
            <v>580</v>
          </cell>
          <cell r="H94" t="str">
            <v>kg CO2e/kg</v>
          </cell>
        </row>
        <row r="95">
          <cell r="F95" t="str">
            <v>GWP: HFE- 356pcc3</v>
          </cell>
          <cell r="G95">
            <v>110</v>
          </cell>
          <cell r="H95" t="str">
            <v>kg CO2e/kg</v>
          </cell>
        </row>
        <row r="96">
          <cell r="F96" t="str">
            <v>GWP: HFE-449sl (HFE-7100)</v>
          </cell>
          <cell r="G96">
            <v>297</v>
          </cell>
          <cell r="H96" t="str">
            <v>kg CO2e/kg</v>
          </cell>
        </row>
        <row r="97">
          <cell r="F97" t="str">
            <v>GWP: HFE-569sf2 (HFE-7200)</v>
          </cell>
          <cell r="G97">
            <v>59</v>
          </cell>
          <cell r="H97" t="str">
            <v>kg CO2e/kg</v>
          </cell>
        </row>
        <row r="98">
          <cell r="F98" t="str">
            <v>GWP: HFE- 43-10pccc124 (H-Galden 1040x)</v>
          </cell>
          <cell r="G98">
            <v>1870</v>
          </cell>
          <cell r="H98" t="str">
            <v>kg CO2e/kg</v>
          </cell>
        </row>
        <row r="99">
          <cell r="F99" t="str">
            <v>GWP: HFE- 236ca12 (HG-10)</v>
          </cell>
          <cell r="G99">
            <v>2800</v>
          </cell>
          <cell r="H99" t="str">
            <v>kg CO2e/kg</v>
          </cell>
        </row>
        <row r="100">
          <cell r="F100" t="str">
            <v>GWP: HFE-338pcc13 (HG-01)</v>
          </cell>
          <cell r="G100">
            <v>1500</v>
          </cell>
          <cell r="H100" t="str">
            <v>kg CO2e/kg</v>
          </cell>
        </row>
        <row r="101">
          <cell r="F101" t="str">
            <v>GWP: PFPMIE</v>
          </cell>
          <cell r="G101">
            <v>10300</v>
          </cell>
          <cell r="H101" t="str">
            <v>kg CO2e/kg</v>
          </cell>
        </row>
        <row r="102">
          <cell r="F102" t="str">
            <v>GWP: Dimethylether (CH3OCH3)</v>
          </cell>
          <cell r="G102">
            <v>1</v>
          </cell>
          <cell r="H102" t="str">
            <v>kg CO2e/kg</v>
          </cell>
        </row>
        <row r="103">
          <cell r="F103" t="str">
            <v>GWP: Methylene Chloride (CH2Cl2)</v>
          </cell>
          <cell r="G103">
            <v>8.6999999999999993</v>
          </cell>
          <cell r="H103" t="str">
            <v>kg CO2e/kg</v>
          </cell>
        </row>
        <row r="104">
          <cell r="F104" t="str">
            <v>GWP: Methyl Chloride (CH3CL)</v>
          </cell>
          <cell r="G104">
            <v>13</v>
          </cell>
          <cell r="H104" t="str">
            <v>kg CO2e/kg</v>
          </cell>
        </row>
        <row r="105">
          <cell r="F105" t="str">
            <v>GWP: R404a</v>
          </cell>
          <cell r="G105">
            <v>3921.6</v>
          </cell>
          <cell r="H105" t="str">
            <v>kg CO2e/kg</v>
          </cell>
        </row>
        <row r="106">
          <cell r="F106" t="str">
            <v>GWP: R410a</v>
          </cell>
          <cell r="G106">
            <v>2087.5</v>
          </cell>
          <cell r="H106" t="str">
            <v>kg CO2e/kg</v>
          </cell>
        </row>
        <row r="107">
          <cell r="F107" t="str">
            <v>GWP: R405a</v>
          </cell>
          <cell r="G107">
            <v>5327.73</v>
          </cell>
          <cell r="H107" t="str">
            <v>kg CO2e/kg</v>
          </cell>
        </row>
        <row r="108">
          <cell r="F108" t="str">
            <v>GWP: R407c</v>
          </cell>
          <cell r="G108">
            <v>1773.85</v>
          </cell>
          <cell r="H108" t="str">
            <v>kg CO2e/kg</v>
          </cell>
        </row>
        <row r="109">
          <cell r="F109" t="str">
            <v>GWP: R417a</v>
          </cell>
          <cell r="G109">
            <v>2064.6622000000002</v>
          </cell>
          <cell r="H109" t="str">
            <v>kg CO2e/kg</v>
          </cell>
        </row>
        <row r="110">
          <cell r="F110" t="str">
            <v>Electricity: Austria</v>
          </cell>
          <cell r="G110">
            <v>0.22541794419109984</v>
          </cell>
          <cell r="H110" t="str">
            <v>kg CO2e/kWh</v>
          </cell>
        </row>
        <row r="111">
          <cell r="F111" t="str">
            <v xml:space="preserve">Electricity: Belgium </v>
          </cell>
          <cell r="G111">
            <v>0.25131236530415563</v>
          </cell>
          <cell r="H111" t="str">
            <v>kg CO2e/kWh</v>
          </cell>
        </row>
        <row r="112">
          <cell r="F112" t="str">
            <v>Electricity: Czech Republic</v>
          </cell>
          <cell r="G112">
            <v>0.72283376535371946</v>
          </cell>
          <cell r="H112" t="str">
            <v>kg CO2e/kWh</v>
          </cell>
        </row>
        <row r="113">
          <cell r="F113" t="str">
            <v>Electricity: Denmark</v>
          </cell>
          <cell r="G113">
            <v>0.67257188340037288</v>
          </cell>
          <cell r="H113" t="str">
            <v>kg CO2e/kWh</v>
          </cell>
        </row>
        <row r="114">
          <cell r="F114" t="str">
            <v xml:space="preserve">Electricity: Finland </v>
          </cell>
          <cell r="G114">
            <v>0.36492253277194053</v>
          </cell>
          <cell r="H114" t="str">
            <v>kg CO2e/kWh</v>
          </cell>
        </row>
        <row r="115">
          <cell r="F115" t="str">
            <v xml:space="preserve">Electricity: France </v>
          </cell>
          <cell r="G115">
            <v>9.2501808668039295E-2</v>
          </cell>
          <cell r="H115" t="str">
            <v>kg CO2e/kWh</v>
          </cell>
        </row>
        <row r="116">
          <cell r="F116" t="str">
            <v xml:space="preserve">Electricity: Germany </v>
          </cell>
          <cell r="G116">
            <v>0.6140784156709117</v>
          </cell>
          <cell r="H116" t="str">
            <v>kg CO2e/kWh</v>
          </cell>
        </row>
        <row r="117">
          <cell r="F117" t="str">
            <v xml:space="preserve">Electricity: Greece </v>
          </cell>
          <cell r="G117">
            <v>0.90673260076469164</v>
          </cell>
          <cell r="H117" t="str">
            <v>kg CO2e/kWh</v>
          </cell>
        </row>
        <row r="118">
          <cell r="F118" t="str">
            <v xml:space="preserve">Electricity: Hungary </v>
          </cell>
          <cell r="G118">
            <v>0.42613206760147648</v>
          </cell>
          <cell r="H118" t="str">
            <v>kg CO2e/kWh</v>
          </cell>
        </row>
        <row r="119">
          <cell r="F119" t="str">
            <v xml:space="preserve">Electricity: Ireland (Republic of) </v>
          </cell>
          <cell r="G119">
            <v>0.64534415085034846</v>
          </cell>
          <cell r="H119" t="str">
            <v>kg CO2e/kWh</v>
          </cell>
        </row>
        <row r="120">
          <cell r="F120" t="str">
            <v xml:space="preserve">Electricity: Italy </v>
          </cell>
          <cell r="G120">
            <v>0.55911999497611931</v>
          </cell>
          <cell r="H120" t="str">
            <v>kg CO2e/kWh</v>
          </cell>
        </row>
        <row r="121">
          <cell r="F121" t="str">
            <v xml:space="preserve">Electricity: Netherlands </v>
          </cell>
          <cell r="G121">
            <v>0.58260476433894659</v>
          </cell>
          <cell r="H121" t="str">
            <v>kg CO2e/kWh</v>
          </cell>
        </row>
        <row r="122">
          <cell r="F122" t="str">
            <v xml:space="preserve">Electricity: Norway </v>
          </cell>
          <cell r="G122">
            <v>1.1378198102967156E-2</v>
          </cell>
          <cell r="H122" t="str">
            <v>kg CO2e/kWh</v>
          </cell>
        </row>
        <row r="123">
          <cell r="F123" t="str">
            <v xml:space="preserve">Electricity: Poland </v>
          </cell>
          <cell r="G123">
            <v>1.1056389973333882</v>
          </cell>
          <cell r="H123" t="str">
            <v>kg CO2e/kWh</v>
          </cell>
        </row>
        <row r="124">
          <cell r="F124" t="str">
            <v xml:space="preserve">Electricity: Spain </v>
          </cell>
          <cell r="G124">
            <v>0.47946158958646817</v>
          </cell>
          <cell r="H124" t="str">
            <v>kg CO2e/kWh</v>
          </cell>
        </row>
        <row r="125">
          <cell r="F125" t="str">
            <v xml:space="preserve">Electricity: Sweden </v>
          </cell>
          <cell r="G125">
            <v>2.9882413099711902E-2</v>
          </cell>
          <cell r="H125" t="str">
            <v>kg CO2e/kWh</v>
          </cell>
        </row>
        <row r="126">
          <cell r="F126" t="str">
            <v xml:space="preserve">Electricity: Turkey </v>
          </cell>
          <cell r="G126">
            <v>0.62760798647758353</v>
          </cell>
          <cell r="H126" t="str">
            <v>kg CO2e/kWh</v>
          </cell>
        </row>
        <row r="127">
          <cell r="F127" t="str">
            <v xml:space="preserve">Electricity: Ukraine </v>
          </cell>
          <cell r="G127">
            <v>0.48945179969886815</v>
          </cell>
          <cell r="H127" t="str">
            <v>kg CO2e/kWh</v>
          </cell>
        </row>
        <row r="128">
          <cell r="F128" t="str">
            <v>Electricity: United Kingdom</v>
          </cell>
          <cell r="G128">
            <v>0.59510444590352796</v>
          </cell>
          <cell r="H128" t="str">
            <v>kg CO2e/kWh</v>
          </cell>
        </row>
        <row r="129">
          <cell r="F129" t="str">
            <v xml:space="preserve">Electricity: Portugal </v>
          </cell>
          <cell r="G129">
            <v>0.53886828748150706</v>
          </cell>
          <cell r="H129" t="str">
            <v>kg CO2e/kWh</v>
          </cell>
        </row>
        <row r="130">
          <cell r="F130" t="str">
            <v xml:space="preserve">Electricity: Argentina </v>
          </cell>
          <cell r="G130">
            <v>0.42256268129210522</v>
          </cell>
          <cell r="H130" t="str">
            <v>kg CO2e/kWh</v>
          </cell>
        </row>
        <row r="131">
          <cell r="F131" t="str">
            <v xml:space="preserve">Electricity: Brazil </v>
          </cell>
          <cell r="G131">
            <v>8.9806237147180182E-2</v>
          </cell>
          <cell r="H131" t="str">
            <v>kg CO2e/kWh</v>
          </cell>
        </row>
        <row r="132">
          <cell r="F132" t="str">
            <v xml:space="preserve">Electricity: Canada </v>
          </cell>
          <cell r="G132">
            <v>0.25674273536858061</v>
          </cell>
          <cell r="H132" t="str">
            <v>kg CO2e/kWh</v>
          </cell>
        </row>
        <row r="133">
          <cell r="F133" t="str">
            <v xml:space="preserve">Electricity: China </v>
          </cell>
          <cell r="G133">
            <v>0.92269235444353348</v>
          </cell>
          <cell r="H133" t="str">
            <v>kg CO2e/kWh</v>
          </cell>
        </row>
        <row r="134">
          <cell r="F134" t="str">
            <v xml:space="preserve">Electricity: Colombia </v>
          </cell>
          <cell r="G134">
            <v>0.15411341805441298</v>
          </cell>
          <cell r="H134" t="str">
            <v>kg CO2e/kWh</v>
          </cell>
        </row>
        <row r="135">
          <cell r="F135" t="str">
            <v xml:space="preserve">Electricity: Costa Rica </v>
          </cell>
          <cell r="G135">
            <v>9.5300243729366615E-2</v>
          </cell>
          <cell r="H135" t="str">
            <v>kg CO2e/kWh</v>
          </cell>
        </row>
        <row r="136">
          <cell r="F136" t="str">
            <v xml:space="preserve">Electricity: Ecuador </v>
          </cell>
          <cell r="G136">
            <v>0.88929448673859612</v>
          </cell>
          <cell r="H136" t="str">
            <v>kg CO2e/kWh</v>
          </cell>
        </row>
        <row r="137">
          <cell r="F137" t="str">
            <v xml:space="preserve">Electricity: Guatemala </v>
          </cell>
          <cell r="G137">
            <v>0.53426926056089319</v>
          </cell>
          <cell r="H137" t="str">
            <v>kg CO2e/kWh</v>
          </cell>
        </row>
        <row r="138">
          <cell r="F138" t="str">
            <v xml:space="preserve">Electricity: India </v>
          </cell>
          <cell r="G138">
            <v>1.0748555985566133</v>
          </cell>
          <cell r="H138" t="str">
            <v>kg CO2e/kWh</v>
          </cell>
        </row>
        <row r="139">
          <cell r="F139" t="str">
            <v xml:space="preserve">Electricity: Israel </v>
          </cell>
          <cell r="G139">
            <v>0.96309488312323999</v>
          </cell>
          <cell r="H139" t="str">
            <v>kg CO2e/kWh</v>
          </cell>
        </row>
        <row r="140">
          <cell r="F140" t="str">
            <v xml:space="preserve">Electricity: Indonesia </v>
          </cell>
          <cell r="G140">
            <v>0.14392787473023713</v>
          </cell>
          <cell r="H140" t="str">
            <v>kg CO2e/kWh</v>
          </cell>
        </row>
        <row r="141">
          <cell r="F141" t="str">
            <v xml:space="preserve">Electricity: Malaysia </v>
          </cell>
          <cell r="G141">
            <v>0.60359438520135933</v>
          </cell>
          <cell r="H141" t="str">
            <v>kg CO2e/kWh</v>
          </cell>
        </row>
        <row r="142">
          <cell r="F142" t="str">
            <v xml:space="preserve">Electricity: Mexico </v>
          </cell>
          <cell r="G142">
            <v>0.67124268159585232</v>
          </cell>
          <cell r="H142" t="str">
            <v>kg CO2e/kWh</v>
          </cell>
        </row>
        <row r="143">
          <cell r="F143" t="str">
            <v xml:space="preserve">Electricity: New Zealand </v>
          </cell>
          <cell r="G143">
            <v>0.20683108147033116</v>
          </cell>
          <cell r="H143" t="str">
            <v>kg CO2e/kWh</v>
          </cell>
        </row>
        <row r="144">
          <cell r="F144" t="str">
            <v xml:space="preserve">Electricity: Singapore </v>
          </cell>
          <cell r="G144">
            <v>0.59737310042171998</v>
          </cell>
          <cell r="H144" t="str">
            <v>kg CO2e/kWh</v>
          </cell>
        </row>
        <row r="145">
          <cell r="F145" t="str">
            <v xml:space="preserve">Electricity: South Africa </v>
          </cell>
          <cell r="G145">
            <v>1.0893239636958769</v>
          </cell>
          <cell r="H145" t="str">
            <v>kg CO2e/kWh</v>
          </cell>
        </row>
        <row r="146">
          <cell r="F146" t="str">
            <v xml:space="preserve">Electricity: South Korea </v>
          </cell>
          <cell r="G146">
            <v>0.59785053886960349</v>
          </cell>
          <cell r="H146" t="str">
            <v>kg CO2e/kWh</v>
          </cell>
        </row>
        <row r="147">
          <cell r="F147" t="str">
            <v xml:space="preserve">Electricity: Vietnam </v>
          </cell>
          <cell r="G147">
            <v>0.44502425710405158</v>
          </cell>
          <cell r="H147" t="str">
            <v>kg CO2e/kWh</v>
          </cell>
        </row>
        <row r="148">
          <cell r="F148" t="str">
            <v xml:space="preserve">Electricity: Kenya </v>
          </cell>
          <cell r="G148">
            <v>0.36098801329356012</v>
          </cell>
          <cell r="H148" t="str">
            <v>kg CO2e/kWh</v>
          </cell>
        </row>
        <row r="149">
          <cell r="F149" t="str">
            <v xml:space="preserve">Electricity: Japan </v>
          </cell>
          <cell r="G149">
            <v>0.58003841237891673</v>
          </cell>
          <cell r="H149" t="str">
            <v>kg CO2e/kWh</v>
          </cell>
        </row>
        <row r="150">
          <cell r="F150" t="str">
            <v xml:space="preserve">Electricity: Russia </v>
          </cell>
          <cell r="G150">
            <v>0.44816182404942317</v>
          </cell>
          <cell r="H150" t="str">
            <v>kg CO2e/kWh</v>
          </cell>
        </row>
        <row r="151">
          <cell r="F151" t="str">
            <v>Electricity: US Average</v>
          </cell>
          <cell r="G151">
            <v>0.66820301511135904</v>
          </cell>
          <cell r="H151" t="str">
            <v>kg CO2e/kWh</v>
          </cell>
        </row>
        <row r="152">
          <cell r="F152" t="str">
            <v>Electricity: US_ASCC  (2007)</v>
          </cell>
          <cell r="G152">
            <v>0.49654265251036944</v>
          </cell>
          <cell r="H152" t="str">
            <v>kg CO2e/kWh</v>
          </cell>
        </row>
        <row r="153">
          <cell r="F153" t="str">
            <v>Electricity: US_ERCOT (2007)</v>
          </cell>
          <cell r="G153">
            <v>0.64361197885411137</v>
          </cell>
          <cell r="H153" t="str">
            <v>kg CO2e/kWh</v>
          </cell>
        </row>
        <row r="154">
          <cell r="F154" t="str">
            <v>Electricity: US_FRCC (2007)</v>
          </cell>
          <cell r="G154">
            <v>0.68679473095255772</v>
          </cell>
          <cell r="H154" t="str">
            <v>kg CO2e/kWh</v>
          </cell>
        </row>
        <row r="155">
          <cell r="F155" t="str">
            <v>Electricity: US_HICC (2007)</v>
          </cell>
          <cell r="G155">
            <v>1.1230428245458537</v>
          </cell>
          <cell r="H155" t="str">
            <v>kg CO2e/kWh</v>
          </cell>
        </row>
        <row r="156">
          <cell r="F156" t="str">
            <v>Electricity: US_MRO (2007)</v>
          </cell>
          <cell r="G156">
            <v>0.86521965299435999</v>
          </cell>
          <cell r="H156" t="str">
            <v>kg CO2e/kWh</v>
          </cell>
        </row>
        <row r="157">
          <cell r="F157" t="str">
            <v>Electricity: US_NPCC (2007)</v>
          </cell>
          <cell r="G157">
            <v>0.45483460532660491</v>
          </cell>
          <cell r="H157" t="str">
            <v>kg CO2e/kWh</v>
          </cell>
        </row>
        <row r="158">
          <cell r="F158" t="str">
            <v>Electricity: US_RFC (2007)</v>
          </cell>
          <cell r="G158">
            <v>0.77908657118875579</v>
          </cell>
          <cell r="H158" t="str">
            <v>kg CO2e/kWh</v>
          </cell>
        </row>
        <row r="159">
          <cell r="F159" t="str">
            <v>Electricity: US_SERC (2007)</v>
          </cell>
          <cell r="G159">
            <v>0.72350504115501213</v>
          </cell>
          <cell r="H159" t="str">
            <v>kg CO2e/kWh</v>
          </cell>
        </row>
        <row r="160">
          <cell r="F160" t="str">
            <v>Electricity: US_SPP (2007)</v>
          </cell>
          <cell r="G160">
            <v>0.85390662064925105</v>
          </cell>
          <cell r="H160" t="str">
            <v>kg CO2e/kWh</v>
          </cell>
        </row>
        <row r="161">
          <cell r="F161" t="str">
            <v>Electricity: US_WECC (2007)</v>
          </cell>
          <cell r="G161">
            <v>0.51075962470281311</v>
          </cell>
          <cell r="H161" t="str">
            <v>kg CO2e/kWh</v>
          </cell>
        </row>
        <row r="162">
          <cell r="F162" t="str">
            <v>Electricity: Australia -NSW &amp; ACT</v>
          </cell>
          <cell r="G162">
            <v>1.06</v>
          </cell>
          <cell r="H162" t="str">
            <v>kg CO2e/kWh</v>
          </cell>
        </row>
        <row r="163">
          <cell r="F163" t="str">
            <v>Electricity: Australia - VIC</v>
          </cell>
          <cell r="G163">
            <v>1.3</v>
          </cell>
          <cell r="H163" t="str">
            <v>kg CO2e/kWh</v>
          </cell>
        </row>
        <row r="164">
          <cell r="F164" t="str">
            <v>Electricity: Australia - QLD</v>
          </cell>
          <cell r="G164">
            <v>1.04</v>
          </cell>
          <cell r="H164" t="str">
            <v>kg CO2e/kWh</v>
          </cell>
        </row>
        <row r="165">
          <cell r="F165" t="str">
            <v>Electricity: Australia - SA</v>
          </cell>
          <cell r="G165">
            <v>0.98</v>
          </cell>
          <cell r="H165" t="str">
            <v>kg CO2e/kWh</v>
          </cell>
        </row>
        <row r="166">
          <cell r="F166" t="str">
            <v>Electricity: Australia - WA</v>
          </cell>
          <cell r="G166">
            <v>0.97</v>
          </cell>
          <cell r="H166" t="str">
            <v>kg CO2e/kWh</v>
          </cell>
        </row>
        <row r="167">
          <cell r="F167" t="str">
            <v>Electricity: Australia - TAS</v>
          </cell>
          <cell r="G167">
            <v>0.13</v>
          </cell>
          <cell r="H167" t="str">
            <v>kg CO2e/kWh</v>
          </cell>
        </row>
        <row r="168">
          <cell r="F168" t="str">
            <v>Electricity: Australia - NT</v>
          </cell>
          <cell r="G168">
            <v>0.8</v>
          </cell>
          <cell r="H168" t="str">
            <v>kg CO2e/kWh</v>
          </cell>
        </row>
        <row r="169">
          <cell r="F169" t="str">
            <v>Electricity: Australia - Average</v>
          </cell>
          <cell r="G169">
            <v>0.94298268157751886</v>
          </cell>
          <cell r="H169" t="str">
            <v>kg CO2e/kWh</v>
          </cell>
        </row>
        <row r="170">
          <cell r="F170" t="str">
            <v>Electricity: Austria  (2006)</v>
          </cell>
          <cell r="G170">
            <v>0.24937198986200818</v>
          </cell>
          <cell r="H170" t="str">
            <v>kg CO2e/kWh</v>
          </cell>
        </row>
        <row r="171">
          <cell r="F171" t="str">
            <v>Electricity: Belgium (2006)</v>
          </cell>
          <cell r="G171">
            <v>0.26799657206591698</v>
          </cell>
          <cell r="H171" t="str">
            <v>kg CO2e/kWh</v>
          </cell>
        </row>
        <row r="172">
          <cell r="F172" t="str">
            <v>Electricity: Czech Republic (2006)</v>
          </cell>
          <cell r="G172">
            <v>0.701857196061341</v>
          </cell>
          <cell r="H172" t="str">
            <v>kg CO2e/kWh</v>
          </cell>
        </row>
        <row r="173">
          <cell r="F173" t="str">
            <v>Electricity: Denmark(2006)</v>
          </cell>
          <cell r="G173">
            <v>0.71329855603655912</v>
          </cell>
          <cell r="H173" t="str">
            <v>kg CO2e/kWh</v>
          </cell>
        </row>
        <row r="174">
          <cell r="F174" t="str">
            <v>Electricity: Finland (2006)</v>
          </cell>
          <cell r="G174">
            <v>0.39316449305390444</v>
          </cell>
          <cell r="H174" t="str">
            <v>kg CO2e/kWh</v>
          </cell>
        </row>
        <row r="175">
          <cell r="F175" t="str">
            <v>Electricity: France (2006)</v>
          </cell>
          <cell r="G175">
            <v>9.0167691002098385E-2</v>
          </cell>
          <cell r="H175" t="str">
            <v>kg CO2e/kWh</v>
          </cell>
        </row>
        <row r="176">
          <cell r="F176" t="str">
            <v>Electricity: Germany (2006)</v>
          </cell>
          <cell r="G176">
            <v>0.60030051496495374</v>
          </cell>
          <cell r="H176" t="str">
            <v>kg CO2e/kWh</v>
          </cell>
        </row>
        <row r="177">
          <cell r="F177" t="str">
            <v>Electricity: Greece (2006)</v>
          </cell>
          <cell r="G177">
            <v>0.88404870396845081</v>
          </cell>
          <cell r="H177" t="str">
            <v>kg CO2e/kWh</v>
          </cell>
        </row>
        <row r="178">
          <cell r="F178" t="str">
            <v>Electricity: Hungary (2006)</v>
          </cell>
          <cell r="G178">
            <v>0.43923921362832563</v>
          </cell>
          <cell r="H178" t="str">
            <v>kg CO2e/kWh</v>
          </cell>
        </row>
        <row r="179">
          <cell r="F179" t="str">
            <v>Electricity: Iceland (2006)</v>
          </cell>
          <cell r="G179">
            <v>5.9743509034090956E-3</v>
          </cell>
          <cell r="H179" t="str">
            <v>kg CO2e/kWh</v>
          </cell>
        </row>
        <row r="180">
          <cell r="F180" t="str">
            <v>Electricity: Ireland (Republic of)  (2006)</v>
          </cell>
          <cell r="G180">
            <v>0.67771074302252898</v>
          </cell>
          <cell r="H180" t="str">
            <v>kg CO2e/kWh</v>
          </cell>
        </row>
        <row r="181">
          <cell r="F181" t="str">
            <v>Electricity: Italy  (2006)</v>
          </cell>
          <cell r="G181">
            <v>0.57787968329243034</v>
          </cell>
          <cell r="H181" t="str">
            <v>kg CO2e/kWh</v>
          </cell>
        </row>
        <row r="182">
          <cell r="F182" t="str">
            <v>Electricity: Netherlands  (2006)</v>
          </cell>
          <cell r="G182">
            <v>0.57872458069657351</v>
          </cell>
          <cell r="H182" t="str">
            <v>kg CO2e/kWh</v>
          </cell>
        </row>
        <row r="183">
          <cell r="F183" t="str">
            <v>Electricity: Poland  (2006)</v>
          </cell>
          <cell r="G183">
            <v>1.1065716078326429</v>
          </cell>
          <cell r="H183" t="str">
            <v>kg CO2e/kWh</v>
          </cell>
        </row>
        <row r="184">
          <cell r="F184" t="str">
            <v>Electricity: Spain  (2006)</v>
          </cell>
          <cell r="G184">
            <v>0.49509570915735091</v>
          </cell>
          <cell r="H184" t="str">
            <v>kg CO2e/kWh</v>
          </cell>
        </row>
        <row r="185">
          <cell r="F185" t="str">
            <v>Electricity: Sweden  (2006)</v>
          </cell>
          <cell r="G185">
            <v>3.7235737827665344E-2</v>
          </cell>
          <cell r="H185" t="str">
            <v>kg CO2e/kWh</v>
          </cell>
        </row>
        <row r="186">
          <cell r="F186" t="str">
            <v>Electricity: Turkey  (2006)</v>
          </cell>
          <cell r="G186">
            <v>0.57980532314012467</v>
          </cell>
          <cell r="H186" t="str">
            <v>kg CO2e/kWh</v>
          </cell>
        </row>
        <row r="187">
          <cell r="F187" t="str">
            <v>Electricity: Ukraine  (2006)</v>
          </cell>
          <cell r="G187">
            <v>0.48336302297249994</v>
          </cell>
          <cell r="H187" t="str">
            <v>kg CO2e/kWh</v>
          </cell>
        </row>
        <row r="188">
          <cell r="F188" t="str">
            <v>Electricity: United Kingdom (2006)</v>
          </cell>
          <cell r="G188">
            <v>0.59510444590352796</v>
          </cell>
          <cell r="H188" t="str">
            <v>kg CO2e/kWh</v>
          </cell>
        </row>
        <row r="189">
          <cell r="F189" t="str">
            <v>Electricity: Argentina  (2006)</v>
          </cell>
          <cell r="G189">
            <v>0.35643498586300498</v>
          </cell>
          <cell r="H189" t="str">
            <v>kg CO2e/kWh</v>
          </cell>
        </row>
        <row r="190">
          <cell r="F190" t="str">
            <v>Electricity: Australia  (2006)</v>
          </cell>
          <cell r="G190">
            <v>0.95982500515133351</v>
          </cell>
          <cell r="H190" t="str">
            <v>kg CO2e/kWh</v>
          </cell>
        </row>
        <row r="191">
          <cell r="F191" t="str">
            <v>Electricity: Brazil  (2006)</v>
          </cell>
          <cell r="G191">
            <v>9.577088831164525E-2</v>
          </cell>
          <cell r="H191" t="str">
            <v>kg CO2e/kWh</v>
          </cell>
        </row>
        <row r="192">
          <cell r="F192" t="str">
            <v>Electricity: Canada  (2006)</v>
          </cell>
          <cell r="G192">
            <v>0.23920116916269188</v>
          </cell>
          <cell r="H192" t="str">
            <v>kg CO2e/kWh</v>
          </cell>
        </row>
        <row r="193">
          <cell r="F193" t="str">
            <v>Electricity: China  (2006)</v>
          </cell>
          <cell r="G193">
            <v>0.92647415855741999</v>
          </cell>
          <cell r="H193" t="str">
            <v>kg CO2e/kWh</v>
          </cell>
        </row>
        <row r="194">
          <cell r="F194" t="str">
            <v>Electricity: Colombia  (2006)</v>
          </cell>
          <cell r="G194">
            <v>0.16912149979831878</v>
          </cell>
          <cell r="H194" t="str">
            <v>kg CO2e/kWh</v>
          </cell>
        </row>
        <row r="195">
          <cell r="F195" t="str">
            <v>Electricity: Costa Rica  (2006)</v>
          </cell>
          <cell r="G195">
            <v>7.5048753217652114E-2</v>
          </cell>
          <cell r="H195" t="str">
            <v>kg CO2e/kWh</v>
          </cell>
        </row>
        <row r="196">
          <cell r="F196" t="str">
            <v>Electricity: Ecuador  (2006)</v>
          </cell>
          <cell r="G196">
            <v>1.0066077634166368</v>
          </cell>
          <cell r="H196" t="str">
            <v>kg CO2e/kWh</v>
          </cell>
        </row>
        <row r="197">
          <cell r="F197" t="str">
            <v>Electricity: Guatemala  (2006)</v>
          </cell>
          <cell r="G197">
            <v>0.47478893966491209</v>
          </cell>
          <cell r="H197" t="str">
            <v>kg CO2e/kWh</v>
          </cell>
        </row>
        <row r="198">
          <cell r="F198" t="str">
            <v>Electricity: India  (2006)</v>
          </cell>
          <cell r="G198">
            <v>1.0875155398062584</v>
          </cell>
          <cell r="H198" t="str">
            <v>kg CO2e/kWh</v>
          </cell>
        </row>
        <row r="199">
          <cell r="F199" t="str">
            <v>Electricity: Israel  (2006)</v>
          </cell>
          <cell r="G199">
            <v>0.97959584363378693</v>
          </cell>
          <cell r="H199" t="str">
            <v>kg CO2e/kWh</v>
          </cell>
        </row>
        <row r="200">
          <cell r="F200" t="str">
            <v>Electricity: Indonesia  (2006)</v>
          </cell>
          <cell r="G200">
            <v>0.96633622968001942</v>
          </cell>
          <cell r="H200" t="str">
            <v>kg CO2e/kWh</v>
          </cell>
        </row>
        <row r="201">
          <cell r="F201" t="str">
            <v>Electricity: Malaysia  (2006)</v>
          </cell>
          <cell r="G201">
            <v>0.57140358924078305</v>
          </cell>
          <cell r="H201" t="str">
            <v>kg CO2e/kWh</v>
          </cell>
        </row>
        <row r="202">
          <cell r="F202" t="str">
            <v>Electricity: Mexico  (2006)</v>
          </cell>
          <cell r="G202">
            <v>0.67683139921943414</v>
          </cell>
          <cell r="H202" t="str">
            <v>kg CO2e/kWh</v>
          </cell>
        </row>
        <row r="203">
          <cell r="F203" t="str">
            <v>Electricity: New Zealand  (2006)</v>
          </cell>
          <cell r="G203">
            <v>0.24556015811050985</v>
          </cell>
          <cell r="H203" t="str">
            <v>kg CO2e/kWh</v>
          </cell>
        </row>
        <row r="204">
          <cell r="F204" t="str">
            <v>Electricity: Singapore  (2006)</v>
          </cell>
          <cell r="G204">
            <v>0.60307831102717568</v>
          </cell>
          <cell r="H204" t="str">
            <v>kg CO2e/kWh</v>
          </cell>
        </row>
        <row r="205">
          <cell r="F205" t="str">
            <v>Electricity: South Africa  (2006)</v>
          </cell>
          <cell r="G205">
            <v>1.0769393133321647</v>
          </cell>
          <cell r="H205" t="str">
            <v>kg CO2e/kWh</v>
          </cell>
        </row>
        <row r="206">
          <cell r="F206" t="str">
            <v>Electricity: South Korea  (2006)</v>
          </cell>
          <cell r="G206">
            <v>0.57016369841120029</v>
          </cell>
          <cell r="H206" t="str">
            <v>kg CO2e/kWh</v>
          </cell>
        </row>
        <row r="207">
          <cell r="F207" t="str">
            <v>Electricity: Portugal  (2006)</v>
          </cell>
          <cell r="G207">
            <v>0.59177327918700051</v>
          </cell>
          <cell r="H207" t="str">
            <v>kg CO2e/kWh</v>
          </cell>
        </row>
        <row r="208">
          <cell r="F208" t="str">
            <v>Electricity: Luxemburg  (2006)</v>
          </cell>
          <cell r="G208">
            <v>0.32992904988388932</v>
          </cell>
          <cell r="H208" t="str">
            <v>kg CO2e/kWh</v>
          </cell>
        </row>
        <row r="209">
          <cell r="F209" t="str">
            <v>Electricity: Vietnam  (2006)</v>
          </cell>
          <cell r="G209">
            <v>0.42669642943906011</v>
          </cell>
          <cell r="H209" t="str">
            <v>kg CO2e/kWh</v>
          </cell>
        </row>
        <row r="210">
          <cell r="F210" t="str">
            <v>Electricity: Jamaica  (2006)</v>
          </cell>
          <cell r="G210">
            <v>1.3088923162933468</v>
          </cell>
          <cell r="H210" t="str">
            <v>kg CO2e/kWh</v>
          </cell>
        </row>
        <row r="211">
          <cell r="F211" t="str">
            <v>Electricity: UK (2005)</v>
          </cell>
          <cell r="G211">
            <v>0.56999999999999995</v>
          </cell>
          <cell r="H211" t="str">
            <v>kg CO2e/kWh</v>
          </cell>
        </row>
        <row r="212">
          <cell r="F212" t="str">
            <v>Electricity: UK (2006)</v>
          </cell>
          <cell r="G212">
            <v>0.60082244250368844</v>
          </cell>
          <cell r="H212" t="str">
            <v>kg CO2e/kWh</v>
          </cell>
        </row>
        <row r="213">
          <cell r="F213" t="str">
            <v>Electricity: Austria (2005)</v>
          </cell>
          <cell r="G213">
            <v>0.25956235165367564</v>
          </cell>
          <cell r="H213" t="str">
            <v>kg CO2e/kWh</v>
          </cell>
        </row>
        <row r="214">
          <cell r="F214" t="str">
            <v>Electricity: Belgium (2005)</v>
          </cell>
          <cell r="G214">
            <v>0.28368713886785013</v>
          </cell>
          <cell r="H214" t="str">
            <v>kg CO2e/kWh</v>
          </cell>
        </row>
        <row r="215">
          <cell r="F215" t="str">
            <v>Electricity: Czech Republic (2005)</v>
          </cell>
          <cell r="G215">
            <v>0.71337615696735368</v>
          </cell>
          <cell r="H215" t="str">
            <v>kg CO2e/kWh</v>
          </cell>
        </row>
        <row r="216">
          <cell r="F216" t="str">
            <v>Electricity: Finland (2005)</v>
          </cell>
          <cell r="G216">
            <v>0.26641557162711316</v>
          </cell>
          <cell r="H216" t="str">
            <v>kg CO2e/kWh</v>
          </cell>
        </row>
        <row r="217">
          <cell r="F217" t="str">
            <v>Electricity: France (2005)</v>
          </cell>
          <cell r="G217">
            <v>9.9527389146257889E-2</v>
          </cell>
          <cell r="H217" t="str">
            <v>kg CO2e/kWh</v>
          </cell>
        </row>
        <row r="218">
          <cell r="F218" t="str">
            <v>Electricity: Germany (2005)</v>
          </cell>
          <cell r="G218">
            <v>0.62040281622202775</v>
          </cell>
          <cell r="H218" t="str">
            <v>kg CO2e/kWh</v>
          </cell>
        </row>
        <row r="219">
          <cell r="F219" t="str">
            <v>Electricity: Greece (2005)</v>
          </cell>
          <cell r="G219">
            <v>0.94245562959183371</v>
          </cell>
          <cell r="H219" t="str">
            <v>kg CO2e/kWh</v>
          </cell>
        </row>
        <row r="220">
          <cell r="F220" t="str">
            <v>Electricity: Hungary (2005)</v>
          </cell>
          <cell r="G220">
            <v>0.42956434347119765</v>
          </cell>
          <cell r="H220" t="str">
            <v>kg CO2e/kWh</v>
          </cell>
        </row>
        <row r="221">
          <cell r="F221" t="str">
            <v>Electricity: Ireland (Republic of) (2005)</v>
          </cell>
          <cell r="G221">
            <v>0.74852476581017813</v>
          </cell>
          <cell r="H221" t="str">
            <v>kg CO2e/kWh</v>
          </cell>
        </row>
        <row r="222">
          <cell r="F222" t="str">
            <v>Electricity: Italy (2005)</v>
          </cell>
          <cell r="G222">
            <v>0.58768161441446687</v>
          </cell>
          <cell r="H222" t="str">
            <v>kg CO2e/kWh</v>
          </cell>
        </row>
        <row r="223">
          <cell r="F223" t="str">
            <v>Electricity: Netherlands (2005)</v>
          </cell>
          <cell r="G223">
            <v>0.57933072238842376</v>
          </cell>
          <cell r="H223" t="str">
            <v>kg CO2e/kWh</v>
          </cell>
        </row>
        <row r="224">
          <cell r="F224" t="str">
            <v>Electricity: Poland (2005)</v>
          </cell>
          <cell r="G224">
            <v>1.1092168311870401</v>
          </cell>
          <cell r="H224" t="str">
            <v>kg CO2e/kWh</v>
          </cell>
        </row>
        <row r="225">
          <cell r="F225" t="str">
            <v>Electricity: Serbia and Montenegro (2005)</v>
          </cell>
          <cell r="G225">
            <v>0.81551321203353078</v>
          </cell>
          <cell r="H225" t="str">
            <v>kg CO2e/kWh</v>
          </cell>
        </row>
        <row r="226">
          <cell r="F226" t="str">
            <v>Electricity: Spain (2005)</v>
          </cell>
          <cell r="G226">
            <v>0.5453664042644496</v>
          </cell>
          <cell r="H226" t="str">
            <v>kg CO2e/kWh</v>
          </cell>
        </row>
        <row r="227">
          <cell r="F227" t="str">
            <v>Electricity: Sweden (2005)</v>
          </cell>
          <cell r="G227">
            <v>3.1660891977965434E-2</v>
          </cell>
          <cell r="H227" t="str">
            <v>kg CO2e/kWh</v>
          </cell>
        </row>
        <row r="228">
          <cell r="F228" t="str">
            <v>Electricity: Turkey (2005)</v>
          </cell>
          <cell r="G228">
            <v>0.5975261606036637</v>
          </cell>
          <cell r="H228" t="str">
            <v>kg CO2e/kWh</v>
          </cell>
        </row>
        <row r="229">
          <cell r="F229" t="str">
            <v>Electricity: Ukraine (2005)</v>
          </cell>
          <cell r="G229">
            <v>0.43233711170432504</v>
          </cell>
          <cell r="H229" t="str">
            <v>kg CO2e/kWh</v>
          </cell>
        </row>
        <row r="230">
          <cell r="F230" t="str">
            <v>Electricity: Argentina (2005)</v>
          </cell>
          <cell r="G230">
            <v>0.35928163365956262</v>
          </cell>
          <cell r="H230" t="str">
            <v>kg CO2e/kWh</v>
          </cell>
        </row>
        <row r="231">
          <cell r="F231" t="str">
            <v>Electricity: Australia (2005)</v>
          </cell>
          <cell r="G231">
            <v>0.95982500515133351</v>
          </cell>
          <cell r="H231" t="str">
            <v>kg CO2e/kWh</v>
          </cell>
        </row>
        <row r="232">
          <cell r="F232" t="str">
            <v>Electricity: Brazil (2005)</v>
          </cell>
          <cell r="G232">
            <v>9.6677818358434128E-2</v>
          </cell>
          <cell r="H232" t="str">
            <v>kg CO2e/kWh</v>
          </cell>
        </row>
        <row r="233">
          <cell r="F233" t="str">
            <v>Electricity: Canada (2005)</v>
          </cell>
          <cell r="G233">
            <v>0.25515894946615192</v>
          </cell>
          <cell r="H233" t="str">
            <v>kg CO2e/kWh</v>
          </cell>
        </row>
        <row r="234">
          <cell r="F234" t="str">
            <v>Electricity: China (2005)</v>
          </cell>
          <cell r="G234">
            <v>0.92250018627369268</v>
          </cell>
          <cell r="H234" t="str">
            <v>kg CO2e/kWh</v>
          </cell>
        </row>
        <row r="235">
          <cell r="F235" t="str">
            <v>Electricity: Colombia (2005)</v>
          </cell>
          <cell r="G235">
            <v>0.18207040250623308</v>
          </cell>
          <cell r="H235" t="str">
            <v>kg CO2e/kWh</v>
          </cell>
        </row>
        <row r="236">
          <cell r="F236" t="str">
            <v>Electricity: Costa Rica (2005)</v>
          </cell>
          <cell r="G236">
            <v>4.2914568956516262E-2</v>
          </cell>
          <cell r="H236" t="str">
            <v>kg CO2e/kWh</v>
          </cell>
        </row>
        <row r="237">
          <cell r="F237" t="str">
            <v>Electricity: Ecuador (2005)</v>
          </cell>
          <cell r="G237">
            <v>0.87579678835478247</v>
          </cell>
          <cell r="H237" t="str">
            <v>kg CO2e/kWh</v>
          </cell>
        </row>
        <row r="238">
          <cell r="F238" t="str">
            <v>Electricity: Guatemala (2005)</v>
          </cell>
          <cell r="G238">
            <v>0.52861829431399532</v>
          </cell>
          <cell r="H238" t="str">
            <v>kg CO2e/kWh</v>
          </cell>
        </row>
        <row r="239">
          <cell r="F239" t="str">
            <v>Electricity: India (2005)</v>
          </cell>
          <cell r="G239">
            <v>1.0936808782799929</v>
          </cell>
          <cell r="H239" t="str">
            <v>kg CO2e/kWh</v>
          </cell>
        </row>
        <row r="240">
          <cell r="F240" t="str">
            <v>Electricity: Israel (2005)</v>
          </cell>
          <cell r="G240">
            <v>1.0255356130674935</v>
          </cell>
          <cell r="H240" t="str">
            <v>kg CO2e/kWh</v>
          </cell>
        </row>
        <row r="241">
          <cell r="F241" t="str">
            <v>Electricity: Indonesia (2005)</v>
          </cell>
          <cell r="G241">
            <v>0.96217437892547364</v>
          </cell>
          <cell r="H241" t="str">
            <v>kg CO2e/kWh</v>
          </cell>
        </row>
        <row r="242">
          <cell r="F242" t="str">
            <v>Electricity: Malaysia (2005)</v>
          </cell>
          <cell r="G242">
            <v>0.60507859049508383</v>
          </cell>
          <cell r="H242" t="str">
            <v>kg CO2e/kWh</v>
          </cell>
        </row>
        <row r="243">
          <cell r="F243" t="str">
            <v>Electricity: Mexico (2005)</v>
          </cell>
          <cell r="G243">
            <v>0.74922142845333362</v>
          </cell>
          <cell r="H243" t="str">
            <v>kg CO2e/kWh</v>
          </cell>
        </row>
        <row r="244">
          <cell r="F244" t="str">
            <v>Electricity: New Zealand (2005)</v>
          </cell>
          <cell r="G244">
            <v>0.25329959020110465</v>
          </cell>
          <cell r="H244" t="str">
            <v>kg CO2e/kWh</v>
          </cell>
        </row>
        <row r="245">
          <cell r="F245" t="str">
            <v>Electricity: Singapore (2005)</v>
          </cell>
          <cell r="G245">
            <v>0.62842743419056446</v>
          </cell>
          <cell r="H245" t="str">
            <v>kg CO2e/kWh</v>
          </cell>
        </row>
        <row r="246">
          <cell r="F246" t="str">
            <v>Electricity: South Africa (2005)</v>
          </cell>
          <cell r="G246">
            <v>1.0541141444792583</v>
          </cell>
          <cell r="H246" t="str">
            <v>kg CO2e/kWh</v>
          </cell>
        </row>
        <row r="247">
          <cell r="F247" t="str">
            <v>Electricity: South Korea (2005)</v>
          </cell>
          <cell r="G247">
            <v>0.57363901641034687</v>
          </cell>
          <cell r="H247" t="str">
            <v>kg CO2e/kWh</v>
          </cell>
        </row>
        <row r="248">
          <cell r="F248" t="str">
            <v>Electricity: Thailand (2005)</v>
          </cell>
          <cell r="G248">
            <v>0.58159943017854832</v>
          </cell>
          <cell r="H248" t="str">
            <v>kg CO2e/kWh</v>
          </cell>
        </row>
        <row r="249">
          <cell r="F249" t="str">
            <v>Fuel: Gas Oil (Emissions by mass)</v>
          </cell>
          <cell r="G249">
            <v>3922.1623762376239</v>
          </cell>
          <cell r="H249" t="str">
            <v>kg CO2e/tonne</v>
          </cell>
        </row>
        <row r="250">
          <cell r="F250" t="str">
            <v>Fuel: Diesel (Emissions by mass)</v>
          </cell>
          <cell r="G250">
            <v>3624.3623762376237</v>
          </cell>
          <cell r="H250" t="str">
            <v>kg CO2e/tonne</v>
          </cell>
        </row>
        <row r="251">
          <cell r="F251" t="str">
            <v>Fuel: Petrol (Emissions by mass)</v>
          </cell>
          <cell r="G251">
            <v>3790.1</v>
          </cell>
          <cell r="H251" t="str">
            <v>kg CO2e/tonne</v>
          </cell>
        </row>
        <row r="252">
          <cell r="F252" t="str">
            <v>Fuel: LPG (emissions by mass)</v>
          </cell>
          <cell r="G252">
            <v>2273</v>
          </cell>
          <cell r="H252" t="str">
            <v>kg CO2e/tonne</v>
          </cell>
        </row>
        <row r="253">
          <cell r="F253" t="str">
            <v>Fuel: Fuel Oil (Emissions by mass)</v>
          </cell>
          <cell r="G253">
            <v>3596.8267326732675</v>
          </cell>
          <cell r="H253" t="str">
            <v>kg CO2e/tonne</v>
          </cell>
        </row>
        <row r="254">
          <cell r="F254" t="str">
            <v>Fuel: Kerosene / Burning Oil / Aviation Turbine Fuel (Emissions by mass)</v>
          </cell>
          <cell r="G254">
            <v>3605.3</v>
          </cell>
          <cell r="H254" t="str">
            <v>kg CO2e/tonne</v>
          </cell>
        </row>
        <row r="255">
          <cell r="F255" t="str">
            <v>Fuel: Coal (Emissions by mass)</v>
          </cell>
          <cell r="G255">
            <v>2621.1</v>
          </cell>
          <cell r="H255" t="str">
            <v>kg CO2e/tonne</v>
          </cell>
        </row>
        <row r="256">
          <cell r="F256" t="str">
            <v>Fuel: Naphtha (Emissions by mass)</v>
          </cell>
          <cell r="G256">
            <v>3494.123076923077</v>
          </cell>
          <cell r="H256" t="str">
            <v>kg CO2e/tonne</v>
          </cell>
        </row>
        <row r="257">
          <cell r="F257" t="str">
            <v>Fuel: Petroleum Coke (Emissions by mass)</v>
          </cell>
          <cell r="G257">
            <v>3933.7</v>
          </cell>
          <cell r="H257" t="str">
            <v>kg CO2e/tonne</v>
          </cell>
        </row>
        <row r="258">
          <cell r="F258" t="str">
            <v>Fuel: Propane (Emissions by mass)</v>
          </cell>
          <cell r="G258">
            <v>3528</v>
          </cell>
          <cell r="H258" t="str">
            <v>kg CO2e/tonne</v>
          </cell>
        </row>
        <row r="259">
          <cell r="F259" t="str">
            <v>US Fuel: Coal (Anthracite) (Emissions by mass)</v>
          </cell>
          <cell r="G259">
            <v>2405</v>
          </cell>
          <cell r="H259" t="str">
            <v>kg CO2e/tonne</v>
          </cell>
        </row>
        <row r="260">
          <cell r="F260" t="str">
            <v>US Fuel: Coal (Bituminous) (Emissions by mass)</v>
          </cell>
          <cell r="G260">
            <v>2308.6</v>
          </cell>
          <cell r="H260" t="str">
            <v>kg CO2e/tonne</v>
          </cell>
        </row>
        <row r="261">
          <cell r="F261" t="str">
            <v>US Fuel: Coal (Sub-bituminous) (Emissions by mass)</v>
          </cell>
          <cell r="G261">
            <v>1792.7</v>
          </cell>
          <cell r="H261" t="str">
            <v>kg CO2e/tonne</v>
          </cell>
        </row>
        <row r="262">
          <cell r="F262" t="str">
            <v>US Fuel: Coal (Lignite) (Emissions by mass)</v>
          </cell>
          <cell r="G262">
            <v>1408.6</v>
          </cell>
          <cell r="H262" t="str">
            <v>kg CO2e/tonne</v>
          </cell>
        </row>
        <row r="263">
          <cell r="F263" t="str">
            <v>Fuel: Natural Gas (Low Pressure, UK) (Emissions by volume)</v>
          </cell>
          <cell r="G263">
            <v>2.1924340996718423</v>
          </cell>
          <cell r="H263" t="str">
            <v>kg CO2e / Nm3</v>
          </cell>
        </row>
        <row r="264">
          <cell r="F264" t="str">
            <v>Fuel: Natural Gas (Low Pressure, European countries with low upstream emissions) (Emissions by volume)</v>
          </cell>
          <cell r="G264">
            <v>2.0686196502914238</v>
          </cell>
          <cell r="H264" t="str">
            <v>kg CO2e / Nm3</v>
          </cell>
        </row>
        <row r="265">
          <cell r="F265" t="str">
            <v>Fuel: Natural Gas (Low Pressure, European countries with medium upstream emissions) (Emissions by volume)</v>
          </cell>
          <cell r="G265">
            <v>2.2630071820933537</v>
          </cell>
          <cell r="H265" t="str">
            <v>kg CO2e / Nm3</v>
          </cell>
        </row>
        <row r="266">
          <cell r="F266" t="str">
            <v>Fuel: Natural Gas (Low Pressure, European countries with high upstream emissions) (Emissions by volume)</v>
          </cell>
          <cell r="G266">
            <v>2.5287667264534459</v>
          </cell>
          <cell r="H266" t="str">
            <v>kg CO2e / Nm3</v>
          </cell>
        </row>
        <row r="267">
          <cell r="F267" t="str">
            <v>US Fuel: Natural Gas (Emissions by volume)</v>
          </cell>
          <cell r="G267">
            <v>2.4401160627745737</v>
          </cell>
          <cell r="H267" t="str">
            <v>kg CO2e / Nm3</v>
          </cell>
        </row>
        <row r="268">
          <cell r="F268" t="str">
            <v>Fuel: Gas Oil (Emissions by volume)</v>
          </cell>
          <cell r="G268">
            <v>3.3957916823079519</v>
          </cell>
          <cell r="H268" t="str">
            <v>kg CO2e / litre</v>
          </cell>
          <cell r="BG268" t="str">
            <v>Fuels (Volume)</v>
          </cell>
        </row>
        <row r="269">
          <cell r="F269" t="str">
            <v>Fuel: Diesel (Emissions by volume)</v>
          </cell>
          <cell r="G269">
            <v>3.0228310089135513</v>
          </cell>
          <cell r="H269" t="str">
            <v>kg CO2e / litre</v>
          </cell>
          <cell r="BG269" t="str">
            <v>Fuels (Volume)</v>
          </cell>
        </row>
        <row r="270">
          <cell r="F270" t="str">
            <v>Fuel: Petrol (Emissions by volume)</v>
          </cell>
          <cell r="G270">
            <v>2.7847754074587816</v>
          </cell>
          <cell r="H270" t="str">
            <v>kg CO2e / litre</v>
          </cell>
          <cell r="BG270" t="str">
            <v>Fuels (Volume)</v>
          </cell>
        </row>
        <row r="271">
          <cell r="F271" t="str">
            <v>Fuel: Kerosene / Burning Oil / Aviation Turbine Fuel (Emissions by volume)</v>
          </cell>
          <cell r="G271">
            <v>2.8934846494673661</v>
          </cell>
          <cell r="H271" t="str">
            <v>kg CO2e / litre</v>
          </cell>
          <cell r="BG271" t="str">
            <v>Fuels (Volume)</v>
          </cell>
        </row>
        <row r="272">
          <cell r="F272" t="str">
            <v>US Fuel: Diesel (Emissions by volume)</v>
          </cell>
          <cell r="G272">
            <v>3.0335192926947085</v>
          </cell>
          <cell r="H272" t="str">
            <v>kg CO2e / litre</v>
          </cell>
          <cell r="BG272" t="str">
            <v>Fuels (Volume)</v>
          </cell>
        </row>
        <row r="273">
          <cell r="F273" t="str">
            <v>US Fuel: Petrol (Emissions by volume)</v>
          </cell>
          <cell r="G273">
            <v>2.7800473561616021</v>
          </cell>
          <cell r="H273" t="str">
            <v>kg CO2e / litre</v>
          </cell>
          <cell r="BG273" t="str">
            <v>Fuels (Volume)</v>
          </cell>
        </row>
        <row r="274">
          <cell r="F274" t="str">
            <v>US Fuel: Kerosene (Emissions by volume)</v>
          </cell>
          <cell r="G274">
            <v>2.9183069830751447</v>
          </cell>
          <cell r="H274" t="str">
            <v>kg CO2e / litre</v>
          </cell>
          <cell r="BG274" t="str">
            <v>Fuels (Volume)</v>
          </cell>
        </row>
        <row r="275">
          <cell r="F275" t="str">
            <v>Fuel: Natural Gas (Low Pressure, UK) (Emissions per net kWh)</v>
          </cell>
          <cell r="G275">
            <v>0.22233609999999998</v>
          </cell>
          <cell r="H275" t="str">
            <v>kg CO2e / kWh</v>
          </cell>
          <cell r="BG275" t="str">
            <v>Nat_Gas</v>
          </cell>
        </row>
        <row r="276">
          <cell r="F276" t="str">
            <v>Fuel: Natural Gas (Low Pressure, European countries with low upstream emissions) (Emissions per net kWh)</v>
          </cell>
          <cell r="G276">
            <v>0.22949296</v>
          </cell>
          <cell r="H276" t="str">
            <v>kg CO2e / kWh</v>
          </cell>
          <cell r="BG276" t="str">
            <v>Nat_Gas</v>
          </cell>
        </row>
        <row r="277">
          <cell r="F277" t="str">
            <v>Fuel: Natural Gas (Low Pressure, European countries with medium upstream emissions) (Emissions per net kWh)</v>
          </cell>
          <cell r="G277">
            <v>0.2564438</v>
          </cell>
          <cell r="H277" t="str">
            <v>kg CO2e / kWh</v>
          </cell>
          <cell r="BG277" t="str">
            <v>Nat_Gas</v>
          </cell>
        </row>
        <row r="278">
          <cell r="F278" t="str">
            <v>Fuel: Natural Gas (Low Pressure, European countries with high upstream emissions) (Emissions per net kWh)</v>
          </cell>
          <cell r="G278">
            <v>0.29561866999999997</v>
          </cell>
          <cell r="H278" t="str">
            <v>kg CO2e / kWh</v>
          </cell>
          <cell r="BG278" t="str">
            <v>Nat_Gas</v>
          </cell>
        </row>
        <row r="279">
          <cell r="F279" t="str">
            <v>US Fuel: Natural Gas (Emissions per net kWh)</v>
          </cell>
          <cell r="G279">
            <v>0.21377031420274889</v>
          </cell>
          <cell r="H279" t="str">
            <v>kg CO2e / kWh</v>
          </cell>
          <cell r="BG279" t="str">
            <v>Nat_Gas</v>
          </cell>
        </row>
        <row r="280">
          <cell r="F280" t="str">
            <v>Natural Gas (incl. coal seam gas) - small user New South Wales  and ACT (AUS)</v>
          </cell>
          <cell r="G280">
            <v>0.23795999999980966</v>
          </cell>
          <cell r="H280" t="str">
            <v xml:space="preserve">kg CO2E / kwh </v>
          </cell>
          <cell r="BG280" t="str">
            <v>Nat_Gas</v>
          </cell>
        </row>
        <row r="281">
          <cell r="F281" t="str">
            <v>Natural Gas (incl. coal seam gas) - small user Victoria (AUS)</v>
          </cell>
          <cell r="G281">
            <v>0.20591999999983529</v>
          </cell>
          <cell r="H281" t="str">
            <v xml:space="preserve">kg CO2E / kwh </v>
          </cell>
          <cell r="BG281" t="str">
            <v>Nat_Gas</v>
          </cell>
        </row>
        <row r="282">
          <cell r="F282" t="str">
            <v>Natural Gas (incl. coal seam gas) - small user Queensland (AUS)</v>
          </cell>
          <cell r="G282">
            <v>0.20627999999983498</v>
          </cell>
          <cell r="H282" t="str">
            <v xml:space="preserve">kg CO2E / kwh </v>
          </cell>
          <cell r="BG282" t="str">
            <v>Nat_Gas</v>
          </cell>
        </row>
        <row r="283">
          <cell r="F283" t="str">
            <v>Natural Gas (incl. coal seam gas) - small user South Australia (AUS)</v>
          </cell>
          <cell r="G283">
            <v>0.25451999999979641</v>
          </cell>
          <cell r="H283" t="str">
            <v xml:space="preserve">kg CO2E / kwh </v>
          </cell>
          <cell r="BG283" t="str">
            <v>Nat_Gas</v>
          </cell>
        </row>
        <row r="284">
          <cell r="F284" t="str">
            <v>Natural Gas (incl. coal seam gas) - small user Western Australia (AUS)</v>
          </cell>
          <cell r="G284">
            <v>0.21203999999983039</v>
          </cell>
          <cell r="H284" t="str">
            <v xml:space="preserve">kg CO2E / kwh </v>
          </cell>
          <cell r="BG284" t="str">
            <v>Nat_Gas</v>
          </cell>
        </row>
        <row r="285">
          <cell r="F285" t="str">
            <v>Natural Gas (incl. coal seam gas) - small user Northern Territory (AUS)</v>
          </cell>
          <cell r="G285">
            <v>0.20519999999983585</v>
          </cell>
          <cell r="H285" t="str">
            <v xml:space="preserve">kg CO2E / kwh </v>
          </cell>
          <cell r="BG285" t="str">
            <v>Nat_Gas</v>
          </cell>
        </row>
        <row r="286">
          <cell r="F286" t="str">
            <v>Natural Gas (incl. coal seam gas) - large user New South Wales  and ACT (AUS)</v>
          </cell>
          <cell r="G286">
            <v>0.23579999999981138</v>
          </cell>
          <cell r="H286" t="str">
            <v xml:space="preserve">kg CO2E / kwh </v>
          </cell>
          <cell r="BG286" t="str">
            <v>Nat_Gas</v>
          </cell>
        </row>
        <row r="287">
          <cell r="F287" t="str">
            <v>Natural Gas (incl. coal seam gas) - large user Victoria (AUS)</v>
          </cell>
          <cell r="G287">
            <v>0.20555999999983557</v>
          </cell>
          <cell r="H287" t="str">
            <v xml:space="preserve">kg CO2E / kwh </v>
          </cell>
          <cell r="BG287" t="str">
            <v>Nat_Gas</v>
          </cell>
        </row>
        <row r="288">
          <cell r="F288" t="str">
            <v>Natural Gas (incl. coal seam gas) - large user Queensland (AUS)</v>
          </cell>
          <cell r="G288">
            <v>0.20411999999983671</v>
          </cell>
          <cell r="H288" t="str">
            <v xml:space="preserve">kg CO2E / kwh </v>
          </cell>
          <cell r="BG288" t="str">
            <v>Nat_Gas</v>
          </cell>
        </row>
        <row r="289">
          <cell r="F289" t="str">
            <v>Natural Gas (incl. coal seam gas) - large user South Australia (AUS)</v>
          </cell>
          <cell r="G289">
            <v>0.25163999999979869</v>
          </cell>
          <cell r="H289" t="str">
            <v xml:space="preserve">kg CO2E / kwh </v>
          </cell>
          <cell r="BG289" t="str">
            <v>Nat_Gas</v>
          </cell>
        </row>
        <row r="290">
          <cell r="F290" t="str">
            <v>Natural Gas (incl. coal seam gas) - large user Western Australia (AUS)</v>
          </cell>
          <cell r="G290">
            <v>0.20987999999983212</v>
          </cell>
          <cell r="H290" t="str">
            <v xml:space="preserve">kg CO2E / kwh </v>
          </cell>
          <cell r="BG290" t="str">
            <v>Nat_Gas</v>
          </cell>
        </row>
        <row r="291">
          <cell r="F291" t="str">
            <v>Natural Gas (incl. coal seam gas) - large user Tasmania (AUS)</v>
          </cell>
          <cell r="G291">
            <v>0.20555999999983557</v>
          </cell>
          <cell r="H291" t="str">
            <v xml:space="preserve">kg CO2E / kwh </v>
          </cell>
          <cell r="BG291" t="str">
            <v>Nat_Gas</v>
          </cell>
        </row>
        <row r="292">
          <cell r="F292" t="str">
            <v>Natural Gas (incl. coal seam gas) - large user Northern Territory (AUS)</v>
          </cell>
          <cell r="G292">
            <v>0.20519999999983585</v>
          </cell>
          <cell r="H292" t="str">
            <v xml:space="preserve">kg CO2E / kwh </v>
          </cell>
          <cell r="BG292" t="str">
            <v>Nat_Gas</v>
          </cell>
        </row>
        <row r="293">
          <cell r="F293" t="str">
            <v>Fuel: Gas Oil (Emissions per net kWh)</v>
          </cell>
          <cell r="G293">
            <v>0.32633861893301153</v>
          </cell>
          <cell r="H293" t="str">
            <v>kg CO2e / kWh</v>
          </cell>
        </row>
        <row r="294">
          <cell r="F294" t="str">
            <v>Fuel: Diesel (Emissions per net kWh)</v>
          </cell>
          <cell r="G294">
            <v>0.30155836430421767</v>
          </cell>
          <cell r="H294" t="str">
            <v>kg CO2e / kWh</v>
          </cell>
        </row>
        <row r="295">
          <cell r="F295" t="str">
            <v>Fuel: Petrol (Emissions per net kWh)</v>
          </cell>
          <cell r="G295">
            <v>0.30512210743671386</v>
          </cell>
          <cell r="H295" t="str">
            <v>kg CO2e / kWh</v>
          </cell>
        </row>
        <row r="296">
          <cell r="F296" t="str">
            <v>Fuel: Fuel Oil (Emissions per net kWh)</v>
          </cell>
          <cell r="G296">
            <v>0.31234867848837833</v>
          </cell>
          <cell r="H296" t="str">
            <v>kg CO2e / kWh</v>
          </cell>
        </row>
        <row r="297">
          <cell r="F297" t="str">
            <v>Fuel: Kerosene / Burning Oil / Aviation Turbine Fuel (Emissions per net kWh)</v>
          </cell>
          <cell r="G297">
            <v>0.29573814913741631</v>
          </cell>
          <cell r="H297" t="str">
            <v>kg CO2e / kWh</v>
          </cell>
        </row>
        <row r="298">
          <cell r="F298" t="str">
            <v>Fuel: Coal (Emissions per net kWh)</v>
          </cell>
          <cell r="G298">
            <v>0.36923643428424791</v>
          </cell>
          <cell r="H298" t="str">
            <v>kg CO2e / kWh</v>
          </cell>
        </row>
        <row r="299">
          <cell r="F299" t="str">
            <v>Fuel: Naphtha (Emissions per net kWh)</v>
          </cell>
          <cell r="G299">
            <v>0.27884485480530541</v>
          </cell>
          <cell r="H299" t="str">
            <v>kg CO2e / kWh</v>
          </cell>
        </row>
        <row r="300">
          <cell r="F300" t="str">
            <v>Fuel: Petroleum Coke (Emissions per net kWh)</v>
          </cell>
          <cell r="G300">
            <v>0.41719902534502956</v>
          </cell>
          <cell r="H300" t="str">
            <v>kg CO2e / kWh</v>
          </cell>
        </row>
        <row r="301">
          <cell r="F301" t="str">
            <v>US Fuel: Diesel (Emissions per net kWh)</v>
          </cell>
          <cell r="G301">
            <v>0.31158268567656011</v>
          </cell>
          <cell r="H301" t="str">
            <v>kg CO2e / kWh</v>
          </cell>
        </row>
        <row r="302">
          <cell r="F302" t="str">
            <v>US Fuel: Petrol (Emissions per net kWh)</v>
          </cell>
          <cell r="G302">
            <v>0.30992615106406529</v>
          </cell>
          <cell r="H302" t="str">
            <v>kg CO2e / kWh</v>
          </cell>
        </row>
        <row r="303">
          <cell r="F303" t="str">
            <v>US Fuel: Residual Fuel Oil (Emissions per net kWh)</v>
          </cell>
          <cell r="G303">
            <v>0.31382436571227934</v>
          </cell>
          <cell r="H303" t="str">
            <v>kg CO2e / kWh</v>
          </cell>
        </row>
        <row r="304">
          <cell r="F304" t="str">
            <v>US Fuel: Liquid petroleum gas (Emissions per net kWh)</v>
          </cell>
          <cell r="G304">
            <v>0.26027585079842652</v>
          </cell>
          <cell r="H304" t="str">
            <v>kg CO2e / kWh</v>
          </cell>
        </row>
        <row r="305">
          <cell r="F305" t="str">
            <v>US Fuel: Kerosene (Emissions per net kWh)</v>
          </cell>
          <cell r="G305">
            <v>0.28139438477940421</v>
          </cell>
          <cell r="H305" t="str">
            <v>kg CO2e / kWh</v>
          </cell>
        </row>
        <row r="306">
          <cell r="F306" t="str">
            <v>US Fuel: Petroleum Coke (Emissions per net kWh)</v>
          </cell>
          <cell r="G306">
            <v>0.43620162056430545</v>
          </cell>
          <cell r="H306" t="str">
            <v>kg CO2e / kWh</v>
          </cell>
        </row>
        <row r="307">
          <cell r="F307" t="str">
            <v>US Fuel: Coal (Electric power) (Emissions per net kWh)</v>
          </cell>
          <cell r="G307">
            <v>0.33807873680770223</v>
          </cell>
          <cell r="H307" t="str">
            <v>kg CO2e / kWh</v>
          </cell>
        </row>
        <row r="308">
          <cell r="F308" t="str">
            <v>US Fuel: Coal (Industrial Coking) (Emissions per net kWh)</v>
          </cell>
          <cell r="G308">
            <v>0.35962078433542488</v>
          </cell>
          <cell r="H308" t="str">
            <v>kg CO2e / kWh</v>
          </cell>
        </row>
        <row r="309">
          <cell r="F309" t="str">
            <v>US Fuel: Coal (Residential/Commercial) (Emissions per net kWh)</v>
          </cell>
          <cell r="G309">
            <v>0.36847550711496013</v>
          </cell>
          <cell r="H309" t="str">
            <v>kg CO2e / kWh</v>
          </cell>
        </row>
        <row r="310">
          <cell r="F310" t="str">
            <v>Fuel: Natural Gas (Low Pressure, UK) (Emissions per gross kWh)</v>
          </cell>
          <cell r="G310">
            <v>0.20032790790027918</v>
          </cell>
          <cell r="H310" t="str">
            <v>kg CO2e / kWh</v>
          </cell>
        </row>
        <row r="311">
          <cell r="F311" t="str">
            <v>Fuel: Natural Gas (Low Pressure, European countries with low upstream emissions) (Emissions per gross kWh)</v>
          </cell>
          <cell r="G311">
            <v>0.20794532791301368</v>
          </cell>
          <cell r="H311" t="str">
            <v>kg CO2e / kWh</v>
          </cell>
        </row>
        <row r="312">
          <cell r="F312" t="str">
            <v>Fuel: Natural Gas (Low Pressure, European countries with medium upstream emissions) (Emissions per gross kWh)</v>
          </cell>
          <cell r="G312">
            <v>0.23236569035607582</v>
          </cell>
          <cell r="H312" t="str">
            <v>kg CO2e / kWh</v>
          </cell>
        </row>
        <row r="313">
          <cell r="F313" t="str">
            <v>Fuel: Natural Gas (Low Pressure, European countries with high upstream emissions) (Emissions per gross kWh)</v>
          </cell>
          <cell r="G313">
            <v>0.26786233996179654</v>
          </cell>
          <cell r="H313" t="str">
            <v>kg CO2e / kWh</v>
          </cell>
        </row>
        <row r="314">
          <cell r="F314" t="str">
            <v>Fuel: Gas Oil (Emissions per gross kWh)</v>
          </cell>
          <cell r="G314">
            <v>0.31001496120432986</v>
          </cell>
          <cell r="H314" t="str">
            <v>kg CO2e / kWh</v>
          </cell>
        </row>
        <row r="315">
          <cell r="F315" t="str">
            <v>Fuel: Diesel (Emissions per gross kWh)</v>
          </cell>
          <cell r="G315">
            <v>0.28647478408441979</v>
          </cell>
          <cell r="H315" t="str">
            <v>kg CO2e / kWh</v>
          </cell>
        </row>
        <row r="316">
          <cell r="F316" t="str">
            <v>Fuel: Petrol (Emissions per gross kWh)</v>
          </cell>
          <cell r="G316">
            <v>0.28986420982945055</v>
          </cell>
          <cell r="H316" t="str">
            <v>kg CO2e / kWh</v>
          </cell>
        </row>
        <row r="317">
          <cell r="F317" t="str">
            <v>Fuel: Fuel Oil (Emissions per gross kWh)</v>
          </cell>
          <cell r="G317">
            <v>0.29673402891659345</v>
          </cell>
          <cell r="H317" t="str">
            <v>kg CO2e / kWh</v>
          </cell>
        </row>
        <row r="318">
          <cell r="F318" t="str">
            <v>Fuel: Kerosene / Burning Oil / Aviation Turbine Fuel (Emissions per gross kWh)</v>
          </cell>
          <cell r="G318">
            <v>0.28095350752600318</v>
          </cell>
          <cell r="H318" t="str">
            <v>kg CO2e / kWh</v>
          </cell>
        </row>
        <row r="319">
          <cell r="F319" t="str">
            <v>Fuel: Coal (Emissions per gross kWh)</v>
          </cell>
          <cell r="G319">
            <v>0.35077293101236046</v>
          </cell>
          <cell r="H319" t="str">
            <v>kg CO2e / kWh</v>
          </cell>
        </row>
        <row r="320">
          <cell r="F320" t="str">
            <v>Fuel: Naphtha (Emissions per gross kWh)</v>
          </cell>
          <cell r="G320">
            <v>0.26490038806715527</v>
          </cell>
          <cell r="H320" t="str">
            <v>kg CO2e / kWh</v>
          </cell>
        </row>
        <row r="321">
          <cell r="F321" t="str">
            <v>Fuel: Petroleum Coke (Emissions per gross kWh)</v>
          </cell>
          <cell r="G321">
            <v>0.39633738806183383</v>
          </cell>
          <cell r="H321" t="str">
            <v>kg CO2e / kWh</v>
          </cell>
        </row>
        <row r="322">
          <cell r="F322" t="str">
            <v>Fuel: Gas Oil (Net kWh by mass)</v>
          </cell>
          <cell r="G322">
            <v>12018.689020200633</v>
          </cell>
          <cell r="H322" t="str">
            <v>kWh / tonne</v>
          </cell>
        </row>
        <row r="323">
          <cell r="F323" t="str">
            <v>Fuel: Diesel (Net kWh by mass)</v>
          </cell>
          <cell r="G323">
            <v>12018.77581674803</v>
          </cell>
          <cell r="H323" t="str">
            <v>kWh / tonne</v>
          </cell>
        </row>
        <row r="324">
          <cell r="F324" t="str">
            <v>Fuel: Petrol (Net kWh by mass)</v>
          </cell>
          <cell r="G324">
            <v>12421.584367780084</v>
          </cell>
          <cell r="H324" t="str">
            <v>kWh / tonne</v>
          </cell>
        </row>
        <row r="325">
          <cell r="F325" t="str">
            <v>Fuel: Fuel Oil (Net kWh by mass)</v>
          </cell>
          <cell r="G325">
            <v>11515.421643786773</v>
          </cell>
          <cell r="H325" t="str">
            <v>kWh / tonne</v>
          </cell>
        </row>
        <row r="326">
          <cell r="F326" t="str">
            <v>Fuel: Kerosene / Burning Oil / Aviation Turbine Fuel (Net kWh by mass)</v>
          </cell>
          <cell r="G326">
            <v>12190.851976708551</v>
          </cell>
          <cell r="H326" t="str">
            <v>kWh / tonne</v>
          </cell>
        </row>
        <row r="327">
          <cell r="F327" t="str">
            <v>Fuel: Coal (Net kWh by mass)</v>
          </cell>
          <cell r="G327">
            <v>7098.7035856331786</v>
          </cell>
          <cell r="H327" t="str">
            <v>kWh / tonne</v>
          </cell>
        </row>
        <row r="328">
          <cell r="F328" t="str">
            <v>Fuel: Naphtha (Net kWh by mass)</v>
          </cell>
          <cell r="G328">
            <v>12530.706651778593</v>
          </cell>
          <cell r="H328" t="str">
            <v>kWh / tonne</v>
          </cell>
        </row>
        <row r="329">
          <cell r="F329" t="str">
            <v>Fuel: Petroleum Coke (Net kWh by mass)</v>
          </cell>
          <cell r="G329">
            <v>9428.8331492308098</v>
          </cell>
          <cell r="H329" t="str">
            <v>kWh / tonne</v>
          </cell>
        </row>
        <row r="330">
          <cell r="F330" t="str">
            <v>Fuel: Gas Oil (Gross kWh by mass)</v>
          </cell>
          <cell r="G330">
            <v>12651.526110227109</v>
          </cell>
          <cell r="H330" t="str">
            <v>kWh / tonne</v>
          </cell>
        </row>
        <row r="331">
          <cell r="F331" t="str">
            <v>Fuel: Diesel (Gross kWh by mass)</v>
          </cell>
          <cell r="G331">
            <v>12651.593011305242</v>
          </cell>
          <cell r="H331" t="str">
            <v>kWh / tonne</v>
          </cell>
        </row>
        <row r="332">
          <cell r="F332" t="str">
            <v>Fuel: Petrol (Gross kWh by mass)</v>
          </cell>
          <cell r="G332">
            <v>13075.432811211871</v>
          </cell>
          <cell r="H332" t="str">
            <v>kWh / tonne</v>
          </cell>
        </row>
        <row r="333">
          <cell r="F333" t="str">
            <v>Fuel Oil (Gross kWh by mass)</v>
          </cell>
          <cell r="G333">
            <v>12121.382727170363</v>
          </cell>
          <cell r="H333" t="str">
            <v>kWh / tonne</v>
          </cell>
        </row>
        <row r="334">
          <cell r="F334" t="str">
            <v>Fuel: Kerosene / Burning Oil / Aviation Turbine Fuel (Gross kWh by mass)</v>
          </cell>
          <cell r="G334">
            <v>12832.372273075529</v>
          </cell>
          <cell r="H334" t="str">
            <v>kWh / tonne</v>
          </cell>
        </row>
        <row r="335">
          <cell r="F335" t="str">
            <v>Fuel: Coal (Gross kWh by mass)</v>
          </cell>
          <cell r="G335">
            <v>7472.3553851070628</v>
          </cell>
          <cell r="H335" t="str">
            <v>kWh / tonne</v>
          </cell>
        </row>
        <row r="336">
          <cell r="F336" t="str">
            <v>Fuel: Naphtha (Gross kWh by mass)</v>
          </cell>
          <cell r="G336">
            <v>13190.328267987574</v>
          </cell>
          <cell r="H336" t="str">
            <v>kWh / tonne</v>
          </cell>
        </row>
        <row r="337">
          <cell r="F337" t="str">
            <v>Fuel: Petroleum Coke (Gross kWh by mass)</v>
          </cell>
          <cell r="G337">
            <v>9925.129746745697</v>
          </cell>
          <cell r="H337" t="str">
            <v>kWh / tonne</v>
          </cell>
        </row>
        <row r="338">
          <cell r="F338" t="str">
            <v>Fuel: Natural Gas (Low Pressure, UK) (Net kWh by volume)</v>
          </cell>
          <cell r="G338">
            <v>9.8888888888888893</v>
          </cell>
          <cell r="H338" t="str">
            <v>kWh / Nm3</v>
          </cell>
        </row>
        <row r="339">
          <cell r="F339" t="str">
            <v>Fuel: Gas Oil (Net kWh by volume)</v>
          </cell>
          <cell r="G339">
            <v>10.405730383399753</v>
          </cell>
          <cell r="H339" t="str">
            <v>kWh / litre</v>
          </cell>
        </row>
        <row r="340">
          <cell r="F340" t="str">
            <v>Fuel: Diesel (Net kWh by volume)</v>
          </cell>
          <cell r="G340">
            <v>10.024033045437477</v>
          </cell>
          <cell r="H340" t="str">
            <v>kWh / litre</v>
          </cell>
        </row>
        <row r="341">
          <cell r="F341" t="str">
            <v>Fuel: Petrol (Net kWh by volume)</v>
          </cell>
          <cell r="G341">
            <v>9.1267572541802107</v>
          </cell>
          <cell r="H341" t="str">
            <v>kWh / litre</v>
          </cell>
        </row>
        <row r="342">
          <cell r="F342" t="str">
            <v>Fuel: Kerosene / Burning Oil / Aviation Turbine Fuel (Net kWh by volume)</v>
          </cell>
          <cell r="G342">
            <v>9.7839411584431506</v>
          </cell>
          <cell r="H342" t="str">
            <v>kWh / litre</v>
          </cell>
        </row>
        <row r="343">
          <cell r="F343" t="str">
            <v>Fuel: Natural Gas (Low Pressure, UK) (Gross kWh by volume)</v>
          </cell>
          <cell r="G343">
            <v>11</v>
          </cell>
          <cell r="H343" t="str">
            <v>kWh / Nm3</v>
          </cell>
        </row>
        <row r="344">
          <cell r="F344" t="str">
            <v>Fuel: Gas Oil (Gross kWh by volume)</v>
          </cell>
          <cell r="G344">
            <v>10.95363807319543</v>
          </cell>
          <cell r="H344" t="str">
            <v>kWh / litre</v>
          </cell>
        </row>
        <row r="345">
          <cell r="F345" t="str">
            <v>Fuel: Diesel (Gross kWh by volume)</v>
          </cell>
          <cell r="G345">
            <v>10.551822278440984</v>
          </cell>
          <cell r="H345" t="str">
            <v>kWh / litre</v>
          </cell>
        </row>
        <row r="346">
          <cell r="F346" t="str">
            <v>Fuel: Petrol (Gross kWh by volume)</v>
          </cell>
          <cell r="G346">
            <v>9.6071723000824409</v>
          </cell>
          <cell r="H346" t="str">
            <v>kWh / litre</v>
          </cell>
        </row>
        <row r="347">
          <cell r="F347" t="str">
            <v>Fuel: Kerosene / Burning Oil / Aviation Turbine Fuel (Gross kWh by volume)</v>
          </cell>
          <cell r="G347">
            <v>10.298802371063349</v>
          </cell>
          <cell r="H347" t="str">
            <v>kWh / litre</v>
          </cell>
        </row>
        <row r="348">
          <cell r="F348" t="str">
            <v>Black coal for electricity (AUS)</v>
          </cell>
          <cell r="G348">
            <v>0.35279999999971778</v>
          </cell>
          <cell r="H348" t="str">
            <v xml:space="preserve">kg CO2E / kwh </v>
          </cell>
        </row>
        <row r="349">
          <cell r="F349" t="str">
            <v>Lignite - brown coal (AUS)</v>
          </cell>
          <cell r="G349">
            <v>0.33659999999973078</v>
          </cell>
          <cell r="H349" t="str">
            <v xml:space="preserve">kg CO2E / kwh </v>
          </cell>
        </row>
        <row r="350">
          <cell r="F350" t="str">
            <v>Coking coal (metallurgical coal) (AUS)</v>
          </cell>
          <cell r="G350">
            <v>0.39923999999968063</v>
          </cell>
          <cell r="H350" t="str">
            <v xml:space="preserve">kg CO2E / kwh </v>
          </cell>
        </row>
        <row r="351">
          <cell r="F351" t="str">
            <v>Black coal—uses other than for electricity and coking   (AUS)</v>
          </cell>
          <cell r="G351">
            <v>0.33515999999973189</v>
          </cell>
          <cell r="H351" t="str">
            <v xml:space="preserve">kg CO2E / kwh </v>
          </cell>
        </row>
        <row r="352">
          <cell r="F352" t="str">
            <v>Brown coal briquettes (AUS)</v>
          </cell>
          <cell r="G352">
            <v>0.37547999999969961</v>
          </cell>
          <cell r="H352" t="str">
            <v xml:space="preserve">kg CO2E / kwh </v>
          </cell>
        </row>
        <row r="353">
          <cell r="F353" t="str">
            <v>Coke oven coke (AUS)</v>
          </cell>
          <cell r="G353">
            <v>0.45251999999963805</v>
          </cell>
          <cell r="H353" t="str">
            <v xml:space="preserve">kg CO2E / kwh </v>
          </cell>
        </row>
        <row r="354">
          <cell r="F354" t="str">
            <v>Industrial waste (tyres) (AUS)</v>
          </cell>
          <cell r="G354">
            <v>0.2883599999997693</v>
          </cell>
          <cell r="H354" t="str">
            <v xml:space="preserve">kg CO2E / kwh </v>
          </cell>
        </row>
        <row r="355">
          <cell r="F355" t="str">
            <v>Municipal materials recycled for energy (non-biomass) (AUS)</v>
          </cell>
          <cell r="G355">
            <v>0.3139199999997489</v>
          </cell>
          <cell r="H355" t="str">
            <v xml:space="preserve">kg CO2E / kwh </v>
          </cell>
        </row>
        <row r="356">
          <cell r="F356" t="str">
            <v>Wood/wood waste— non-residential uses  (AUS)</v>
          </cell>
          <cell r="G356">
            <v>4.6799999999962566E-3</v>
          </cell>
          <cell r="H356" t="str">
            <v xml:space="preserve">kg CO2E / kwh </v>
          </cell>
        </row>
        <row r="357">
          <cell r="F357" t="str">
            <v>Wood/wood waste — residential uses (AUS)</v>
          </cell>
          <cell r="G357">
            <v>5.6159999999955079E-2</v>
          </cell>
          <cell r="H357" t="str">
            <v xml:space="preserve">kg CO2E / kwh </v>
          </cell>
        </row>
        <row r="358">
          <cell r="F358" t="str">
            <v>Sulphite lyes (black liquor) (AUS)</v>
          </cell>
          <cell r="G358">
            <v>0.7</v>
          </cell>
          <cell r="H358" t="str">
            <v xml:space="preserve">kg CO2E / kwh </v>
          </cell>
        </row>
        <row r="359">
          <cell r="F359" t="str">
            <v>Bagasse (other primary solid biomass) (AUS)</v>
          </cell>
          <cell r="G359">
            <v>5.3999999999956808E-3</v>
          </cell>
          <cell r="H359" t="str">
            <v xml:space="preserve">kg CO2E / kwh </v>
          </cell>
        </row>
        <row r="360">
          <cell r="F360" t="str">
            <v>Other primary solid biomass (other than bagasse) (AUS)</v>
          </cell>
          <cell r="G360">
            <v>6.4799999999948172E-3</v>
          </cell>
          <cell r="H360" t="str">
            <v xml:space="preserve">kg CO2E / kwh </v>
          </cell>
        </row>
        <row r="361">
          <cell r="F361" t="str">
            <v>Charcoal (AUS)</v>
          </cell>
          <cell r="G361">
            <v>1.8719999999985026E-2</v>
          </cell>
          <cell r="H361" t="str">
            <v xml:space="preserve">kg CO2E / kwh </v>
          </cell>
        </row>
        <row r="362">
          <cell r="F362" t="str">
            <v>Municipal materials recycled for energy (biomass) (AUS)</v>
          </cell>
          <cell r="G362">
            <v>6.4799999999948172E-3</v>
          </cell>
          <cell r="H362" t="str">
            <v xml:space="preserve">kg CO2E / kwh </v>
          </cell>
        </row>
        <row r="363">
          <cell r="F363" t="str">
            <v>Crude oil (AUS)</v>
          </cell>
          <cell r="G363">
            <v>0.2681999999997855</v>
          </cell>
          <cell r="H363" t="str">
            <v xml:space="preserve">kg CO2E / kwh </v>
          </cell>
        </row>
        <row r="364">
          <cell r="F364" t="str">
            <v>Other natural gas liquids (AUS)</v>
          </cell>
          <cell r="G364">
            <v>0.23759999999980996</v>
          </cell>
          <cell r="H364" t="str">
            <v xml:space="preserve">kg CO2E / kwh </v>
          </cell>
        </row>
        <row r="365">
          <cell r="F365" t="str">
            <v>Motor gasoline (petrol) (AUS)</v>
          </cell>
          <cell r="G365">
            <v>0.26063999999979148</v>
          </cell>
          <cell r="H365" t="str">
            <v xml:space="preserve">kg CO2E / kwh </v>
          </cell>
        </row>
        <row r="366">
          <cell r="F366" t="str">
            <v>Aviation gasoline (AUS)</v>
          </cell>
          <cell r="G366">
            <v>0.25919999999979265</v>
          </cell>
          <cell r="H366" t="str">
            <v xml:space="preserve">kg CO2E / kwh </v>
          </cell>
        </row>
        <row r="367">
          <cell r="F367" t="str">
            <v>Aviation turbine fuel (jet kerosene) (AUS)</v>
          </cell>
          <cell r="G367">
            <v>0.26783999999978575</v>
          </cell>
          <cell r="H367" t="str">
            <v xml:space="preserve">kg CO2E / kwh </v>
          </cell>
        </row>
        <row r="368">
          <cell r="F368" t="str">
            <v>Kerosene (AUS)</v>
          </cell>
          <cell r="G368">
            <v>0.26531999999978778</v>
          </cell>
          <cell r="H368" t="str">
            <v xml:space="preserve">kg CO2E / kwh </v>
          </cell>
        </row>
        <row r="369">
          <cell r="F369" t="str">
            <v>Heating oil (AUS)</v>
          </cell>
          <cell r="G369">
            <v>0.26747999999978606</v>
          </cell>
          <cell r="H369" t="str">
            <v xml:space="preserve">kg CO2E / kwh </v>
          </cell>
        </row>
        <row r="370">
          <cell r="F370" t="str">
            <v>Diesel (Automotive Diesel Oil) (AUS)</v>
          </cell>
          <cell r="G370">
            <v>0.26927999999978458</v>
          </cell>
          <cell r="H370" t="str">
            <v xml:space="preserve">kg CO2E / kwh </v>
          </cell>
        </row>
        <row r="371">
          <cell r="F371" t="str">
            <v>Fuel oil (AUS)</v>
          </cell>
          <cell r="G371">
            <v>0.28223999999977417</v>
          </cell>
          <cell r="H371" t="str">
            <v xml:space="preserve">kg CO2E / kwh </v>
          </cell>
        </row>
        <row r="372">
          <cell r="F372" t="str">
            <v>Lubricants and greases (AUS)</v>
          </cell>
          <cell r="G372">
            <v>0.11951999999990438</v>
          </cell>
          <cell r="H372" t="str">
            <v xml:space="preserve">kg CO2E / kwh </v>
          </cell>
        </row>
        <row r="373">
          <cell r="F373" t="str">
            <v>Liquefied aromatic hydrocarbons (benzene, toluene, _x000D_and xylene) (AUS)</v>
          </cell>
          <cell r="G373">
            <v>0.2681999999997855</v>
          </cell>
          <cell r="H373" t="str">
            <v xml:space="preserve">kg CO2E / kwh </v>
          </cell>
        </row>
        <row r="374">
          <cell r="F374" t="str">
            <v>Solvents used for combustion (AUS)</v>
          </cell>
          <cell r="G374">
            <v>0.2681999999997855</v>
          </cell>
          <cell r="H374" t="str">
            <v xml:space="preserve">kg CO2E / kwh </v>
          </cell>
        </row>
        <row r="375">
          <cell r="F375" t="str">
            <v>Other petroleum products nec (including waste oils) (AUS)</v>
          </cell>
          <cell r="G375">
            <v>0.2681999999997855</v>
          </cell>
          <cell r="H375" t="str">
            <v xml:space="preserve">kg CO2E / kwh </v>
          </cell>
        </row>
        <row r="376">
          <cell r="F376" t="str">
            <v>Liquefied Petroleum Gas (AUS)</v>
          </cell>
          <cell r="G376">
            <v>0.23471999999981225</v>
          </cell>
          <cell r="H376" t="str">
            <v xml:space="preserve">kg CO2E / kwh </v>
          </cell>
        </row>
        <row r="377">
          <cell r="F377" t="str">
            <v>Naphtha (AUS)</v>
          </cell>
          <cell r="G377">
            <v>0.26747999999978606</v>
          </cell>
          <cell r="H377" t="str">
            <v xml:space="preserve">kg CO2E / kwh </v>
          </cell>
        </row>
        <row r="378">
          <cell r="F378" t="str">
            <v>Refinery feedstock (AUS)</v>
          </cell>
          <cell r="G378">
            <v>0.2681999999997855</v>
          </cell>
          <cell r="H378" t="str">
            <v xml:space="preserve">kg CO2E / kwh </v>
          </cell>
        </row>
        <row r="379">
          <cell r="F379" t="str">
            <v>Petroleum coke (AUS)</v>
          </cell>
          <cell r="G379">
            <v>0.34667999999972265</v>
          </cell>
          <cell r="H379" t="str">
            <v xml:space="preserve">kg CO2E / kwh </v>
          </cell>
        </row>
        <row r="380">
          <cell r="F380" t="str">
            <v>Refinery gas and liquids (AUS)</v>
          </cell>
          <cell r="G380">
            <v>0.21455999999982836</v>
          </cell>
          <cell r="H380" t="str">
            <v xml:space="preserve">kg CO2E / kwh </v>
          </cell>
        </row>
        <row r="381">
          <cell r="F381" t="str">
            <v>Refinery fuel - coke (AUS)</v>
          </cell>
          <cell r="G381">
            <v>0.34667999999972265</v>
          </cell>
          <cell r="H381" t="str">
            <v xml:space="preserve">kg CO2E / kwh </v>
          </cell>
        </row>
        <row r="382">
          <cell r="F382" t="str">
            <v>Ethanol (molasses) (AUS)</v>
          </cell>
          <cell r="G382">
            <v>0.19727999999984219</v>
          </cell>
          <cell r="H382" t="str">
            <v xml:space="preserve">kg CO2E / kwh </v>
          </cell>
        </row>
        <row r="383">
          <cell r="F383" t="str">
            <v>Ethanol (wheat starch waste) (AUS)</v>
          </cell>
          <cell r="G383">
            <v>0.19619999999984306</v>
          </cell>
          <cell r="H383" t="str">
            <v xml:space="preserve">kg CO2E / kwh </v>
          </cell>
        </row>
        <row r="384">
          <cell r="F384" t="str">
            <v>Biodiesel (Canola) (AUS)</v>
          </cell>
          <cell r="G384">
            <v>0.22355999999982118</v>
          </cell>
          <cell r="H384" t="str">
            <v xml:space="preserve">kg CO2E / kwh </v>
          </cell>
        </row>
        <row r="385">
          <cell r="F385" t="str">
            <v>Biodiesel (tallow) (AUS)</v>
          </cell>
          <cell r="G385">
            <v>0.20591999999983529</v>
          </cell>
          <cell r="H385" t="str">
            <v xml:space="preserve">kg CO2E / kwh </v>
          </cell>
        </row>
        <row r="386">
          <cell r="F386" t="str">
            <v>Coal mine waste gas (AUS)</v>
          </cell>
          <cell r="G386">
            <v>0.20411999999983674</v>
          </cell>
          <cell r="H386" t="str">
            <v xml:space="preserve">kg CO2E / kwh </v>
          </cell>
        </row>
        <row r="387">
          <cell r="F387" t="str">
            <v>Coke oven gas (AUS)</v>
          </cell>
          <cell r="G387">
            <v>0.13283999999989374</v>
          </cell>
          <cell r="H387" t="str">
            <v xml:space="preserve">kg CO2E / kwh </v>
          </cell>
        </row>
        <row r="388">
          <cell r="F388" t="str">
            <v>Town gas (AUS)</v>
          </cell>
          <cell r="G388">
            <v>0.21599999999982722</v>
          </cell>
          <cell r="H388" t="str">
            <v xml:space="preserve">kg CO2E / kwh </v>
          </cell>
        </row>
        <row r="389">
          <cell r="F389" t="str">
            <v>Landfill gas (AUS)</v>
          </cell>
          <cell r="G389">
            <v>1.7279999999986178E-2</v>
          </cell>
          <cell r="H389" t="str">
            <v xml:space="preserve">kg CO2E / kwh </v>
          </cell>
        </row>
        <row r="390">
          <cell r="F390" t="str">
            <v>Sludge gas (AUS)</v>
          </cell>
          <cell r="G390">
            <v>1.7279999999986178E-2</v>
          </cell>
          <cell r="H390" t="str">
            <v xml:space="preserve">kg CO2E / kwh </v>
          </cell>
        </row>
        <row r="391">
          <cell r="F391" t="str">
            <v>Agrochemicals: Nitrogen Fertiliser (N)</v>
          </cell>
          <cell r="G391">
            <v>7.11</v>
          </cell>
          <cell r="H391" t="str">
            <v>kg CO2(e)/kg of N in ammonia nitrate</v>
          </cell>
        </row>
        <row r="392">
          <cell r="F392" t="str">
            <v>Agrochemicals: Triple Superphosphate Fertilizer</v>
          </cell>
          <cell r="G392">
            <v>1.85</v>
          </cell>
          <cell r="H392" t="str">
            <v>kg CO2(e)/kg of K20 in TSF</v>
          </cell>
        </row>
        <row r="393">
          <cell r="F393" t="str">
            <v>Agrochemicals: Potash Fertilizer</v>
          </cell>
          <cell r="G393">
            <v>1.76</v>
          </cell>
          <cell r="H393" t="str">
            <v>kg CO2(e)/kg of K20 in Potash</v>
          </cell>
        </row>
        <row r="394">
          <cell r="F394" t="str">
            <v>Agrochemicals: Lime</v>
          </cell>
          <cell r="G394">
            <v>0.15</v>
          </cell>
          <cell r="H394" t="str">
            <v>kg CO2(e)/kg of CaO in lime</v>
          </cell>
        </row>
        <row r="395">
          <cell r="F395" t="str">
            <v>Agrochemicals: Fungicides</v>
          </cell>
          <cell r="G395">
            <v>3.2789999999999999</v>
          </cell>
          <cell r="H395" t="str">
            <v>kg CO2(e)/kg of product</v>
          </cell>
        </row>
        <row r="396">
          <cell r="F396" t="str">
            <v>Agrochemicals: Herbicides</v>
          </cell>
          <cell r="G396">
            <v>5.0519999999999996</v>
          </cell>
          <cell r="H396" t="str">
            <v>kg CO2(e)/kg of product</v>
          </cell>
        </row>
        <row r="397">
          <cell r="F397" t="str">
            <v>Agrochemicals: Insecticides</v>
          </cell>
          <cell r="G397">
            <v>4.7119999999999997</v>
          </cell>
          <cell r="H397" t="str">
            <v>kg CO2(e)/kg of product</v>
          </cell>
        </row>
        <row r="398">
          <cell r="F398" t="str">
            <v>Transit Van (or equivalent)</v>
          </cell>
          <cell r="G398">
            <v>4.7094585193034284E-2</v>
          </cell>
          <cell r="H398" t="str">
            <v>Litres diesel / Km / tonne capacity</v>
          </cell>
        </row>
        <row r="399">
          <cell r="F399" t="str">
            <v>Rigid Lorry 3.5 to 7.5 tonne (2-axle)</v>
          </cell>
          <cell r="G399">
            <v>6.4234912728520527E-2</v>
          </cell>
          <cell r="H399" t="str">
            <v>Litres diesel / Km / tonne capacity</v>
          </cell>
          <cell r="BG399" t="str">
            <v>Road Transport Factor</v>
          </cell>
        </row>
        <row r="400">
          <cell r="F400" t="str">
            <v>Rigid Lorry 7.5 to 14 tonne (2-axle)</v>
          </cell>
          <cell r="G400">
            <v>4.2503425015414951E-2</v>
          </cell>
          <cell r="H400" t="str">
            <v>Litres diesel / Km / tonne capacity</v>
          </cell>
          <cell r="BG400" t="str">
            <v>Road Transport Factor</v>
          </cell>
        </row>
        <row r="401">
          <cell r="F401" t="str">
            <v>Rigid Lorry 14 to 17 tonne (2-axle)</v>
          </cell>
          <cell r="G401">
            <v>4.3849687346219947E-2</v>
          </cell>
          <cell r="H401" t="str">
            <v>Litres diesel / Km / tonne capacity</v>
          </cell>
          <cell r="BG401" t="str">
            <v>Road Transport Factor</v>
          </cell>
        </row>
        <row r="402">
          <cell r="F402" t="str">
            <v>Rigid Lorry 17 to 25 tonne (3-axle)</v>
          </cell>
          <cell r="G402">
            <v>2.4839491552498774E-2</v>
          </cell>
          <cell r="H402" t="str">
            <v>Litres diesel / Km / tonne capacity</v>
          </cell>
          <cell r="BG402" t="str">
            <v>Road Transport Factor</v>
          </cell>
        </row>
        <row r="403">
          <cell r="F403" t="str">
            <v>Rigid Lorry 25 to 32 tonne (4-axle)</v>
          </cell>
          <cell r="G403">
            <v>2.5727254100127044E-2</v>
          </cell>
          <cell r="H403" t="str">
            <v>Litres diesel / Km / tonne capacity</v>
          </cell>
          <cell r="BG403" t="str">
            <v>Road Transport Factor</v>
          </cell>
        </row>
        <row r="404">
          <cell r="F404" t="str">
            <v>Artic Lorry Over 33 tonne (5 / 6-axle)</v>
          </cell>
          <cell r="G404">
            <v>1.0645215831188909E-2</v>
          </cell>
          <cell r="H404" t="str">
            <v>Litres diesel / Km / tonne capacity</v>
          </cell>
          <cell r="BG404" t="str">
            <v>Road Transport Factor</v>
          </cell>
        </row>
        <row r="405">
          <cell r="F405" t="str">
            <v>US - Class 2b Diesel Vehicles</v>
          </cell>
          <cell r="G405">
            <v>9.9902212038455354E-2</v>
          </cell>
          <cell r="H405" t="str">
            <v>Litres diesel / Km / tonne capacity</v>
          </cell>
          <cell r="BG405" t="str">
            <v>Road Transport Factor</v>
          </cell>
        </row>
        <row r="406">
          <cell r="F406" t="str">
            <v>US -Class 3 Diesel Vehicles</v>
          </cell>
          <cell r="G406">
            <v>7.5993362204751766E-2</v>
          </cell>
          <cell r="H406" t="str">
            <v>Litres diesel / Km / tonne capacity</v>
          </cell>
          <cell r="BG406" t="str">
            <v>Road Transport Factor</v>
          </cell>
        </row>
        <row r="407">
          <cell r="F407" t="str">
            <v>US - Class 4 Diesel Vehicles</v>
          </cell>
          <cell r="G407">
            <v>7.060659845888502E-2</v>
          </cell>
          <cell r="H407" t="str">
            <v>Litres diesel / Km / tonne capacity</v>
          </cell>
          <cell r="BG407" t="str">
            <v>Road Transport Factor</v>
          </cell>
        </row>
        <row r="408">
          <cell r="F408" t="str">
            <v>US - Class 5 Diesel Vehicles</v>
          </cell>
          <cell r="G408">
            <v>6.2601943821153805E-2</v>
          </cell>
          <cell r="H408" t="str">
            <v>Litres diesel / Km / tonne capacity</v>
          </cell>
          <cell r="BG408" t="str">
            <v>Road Transport Factor</v>
          </cell>
        </row>
        <row r="409">
          <cell r="F409" t="str">
            <v>US - Class 6 Diesel Vehicles</v>
          </cell>
          <cell r="G409">
            <v>5.370432112610795E-2</v>
          </cell>
          <cell r="H409" t="str">
            <v>Litres diesel / Km / tonne capacity</v>
          </cell>
          <cell r="BG409" t="str">
            <v>Road Transport Factor</v>
          </cell>
        </row>
        <row r="410">
          <cell r="F410" t="str">
            <v>US - Class 7 Diesel Vehicles</v>
          </cell>
          <cell r="G410">
            <v>4.9940078321725895E-2</v>
          </cell>
          <cell r="H410" t="str">
            <v>Litres diesel / Km / tonne capacity</v>
          </cell>
          <cell r="BG410" t="str">
            <v>Road Transport Factor</v>
          </cell>
        </row>
        <row r="411">
          <cell r="F411" t="str">
            <v>US - Class 8a Diesel Vehicles</v>
          </cell>
          <cell r="G411">
            <v>2.091332876423636E-2</v>
          </cell>
          <cell r="H411" t="str">
            <v>Litres diesel / Km / tonne capacity</v>
          </cell>
          <cell r="BG411" t="str">
            <v>Road Transport Factor</v>
          </cell>
        </row>
        <row r="412">
          <cell r="F412" t="str">
            <v>US - Class 8b Diesel Vehicles</v>
          </cell>
          <cell r="G412">
            <v>1.351492830004016E-2</v>
          </cell>
          <cell r="H412" t="str">
            <v>Litres diesel / Km / tonne capacity</v>
          </cell>
          <cell r="BG412" t="str">
            <v>Road Transport Factor</v>
          </cell>
        </row>
        <row r="413">
          <cell r="F413" t="str">
            <v>LCF - Rigid Lorry 3.5 to 7.5 tonne (2-axle)</v>
          </cell>
          <cell r="G413">
            <v>0.17499999999999999</v>
          </cell>
          <cell r="H413" t="str">
            <v>Number</v>
          </cell>
          <cell r="BG413" t="str">
            <v>Load Correction Factor</v>
          </cell>
        </row>
        <row r="414">
          <cell r="F414" t="str">
            <v>LCF - Rigid Lorry 7.5 to 14 tonne (2-axle)</v>
          </cell>
          <cell r="G414">
            <v>0.111</v>
          </cell>
          <cell r="H414" t="str">
            <v>Number</v>
          </cell>
          <cell r="BG414" t="str">
            <v>Load Correction Factor</v>
          </cell>
        </row>
        <row r="415">
          <cell r="F415" t="str">
            <v>LCF - Rigid Lorry 14 to 17 tonne (2-axle)</v>
          </cell>
          <cell r="G415">
            <v>0.111</v>
          </cell>
          <cell r="H415" t="str">
            <v>Number</v>
          </cell>
          <cell r="BG415" t="str">
            <v>Load Correction Factor</v>
          </cell>
        </row>
        <row r="416">
          <cell r="F416" t="str">
            <v>LCF - Rigid Lorry 17 to 25 tonne (3-axle)</v>
          </cell>
          <cell r="G416">
            <v>0.438</v>
          </cell>
          <cell r="H416" t="str">
            <v>Number</v>
          </cell>
          <cell r="BG416" t="str">
            <v>Load Correction Factor</v>
          </cell>
        </row>
        <row r="417">
          <cell r="F417" t="str">
            <v>LCF - Rigid Lorry 25 to 32 tonne (4-axle)</v>
          </cell>
          <cell r="G417">
            <v>0.438</v>
          </cell>
          <cell r="H417" t="str">
            <v>Number</v>
          </cell>
          <cell r="BG417" t="str">
            <v>Load Correction Factor</v>
          </cell>
        </row>
        <row r="418">
          <cell r="F418" t="str">
            <v>LCF - Artic Lorry Over 33 tonne (5 / 6-axle)</v>
          </cell>
          <cell r="G418">
            <v>0.66600000000000004</v>
          </cell>
          <cell r="H418" t="str">
            <v>Number</v>
          </cell>
          <cell r="BG418" t="str">
            <v>Load Correction Factor</v>
          </cell>
        </row>
        <row r="419">
          <cell r="F419" t="str">
            <v>LCF - US - Class 2b Diesel Vehicles</v>
          </cell>
          <cell r="G419">
            <v>0.17499999999999999</v>
          </cell>
          <cell r="H419" t="str">
            <v>Number</v>
          </cell>
          <cell r="BG419" t="str">
            <v>Load Correction Factor</v>
          </cell>
        </row>
        <row r="420">
          <cell r="F420" t="str">
            <v>LCF - US -Class 3 Diesel Vehicles</v>
          </cell>
          <cell r="G420">
            <v>0.17499999999999999</v>
          </cell>
          <cell r="H420" t="str">
            <v>Number</v>
          </cell>
          <cell r="BG420" t="str">
            <v>Load Correction Factor</v>
          </cell>
        </row>
        <row r="421">
          <cell r="F421" t="str">
            <v>LCF - US - Class 4 Diesel Vehicles</v>
          </cell>
          <cell r="G421">
            <v>0.17499999999999999</v>
          </cell>
          <cell r="H421" t="str">
            <v>Number</v>
          </cell>
          <cell r="BG421" t="str">
            <v>Load Correction Factor</v>
          </cell>
        </row>
        <row r="422">
          <cell r="F422" t="str">
            <v>LCF - US - Class 5 Diesel Vehicles</v>
          </cell>
          <cell r="G422">
            <v>0.111</v>
          </cell>
          <cell r="H422" t="str">
            <v>Number</v>
          </cell>
          <cell r="BG422" t="str">
            <v>Load Correction Factor</v>
          </cell>
        </row>
        <row r="423">
          <cell r="F423" t="str">
            <v>LCF - US - Class 6 Diesel Vehicles</v>
          </cell>
          <cell r="G423">
            <v>0.111</v>
          </cell>
          <cell r="H423" t="str">
            <v>Number</v>
          </cell>
          <cell r="BG423" t="str">
            <v>Load Correction Factor</v>
          </cell>
        </row>
        <row r="424">
          <cell r="F424" t="str">
            <v>LCF - US - Class 7 Diesel Vehicles</v>
          </cell>
          <cell r="G424">
            <v>0.111</v>
          </cell>
          <cell r="H424" t="str">
            <v>Number</v>
          </cell>
          <cell r="BG424" t="str">
            <v>Load Correction Factor</v>
          </cell>
        </row>
        <row r="425">
          <cell r="F425" t="str">
            <v>LCF - US - Class 8a Diesel Vehicles</v>
          </cell>
          <cell r="G425">
            <v>0.27500000000000002</v>
          </cell>
          <cell r="H425" t="str">
            <v>Number</v>
          </cell>
          <cell r="BG425" t="str">
            <v>Load Correction Factor</v>
          </cell>
        </row>
        <row r="426">
          <cell r="F426" t="str">
            <v>LCF - US - Class 8b Diesel Vehicles</v>
          </cell>
          <cell r="G426">
            <v>0.66600000000000004</v>
          </cell>
          <cell r="H426" t="str">
            <v>Number</v>
          </cell>
          <cell r="BG426" t="str">
            <v>Load Correction Factor</v>
          </cell>
        </row>
        <row r="427">
          <cell r="F427" t="str">
            <v>Fuel Use - Uplift for chilled / frozen</v>
          </cell>
          <cell r="G427">
            <v>0.14000000000000001</v>
          </cell>
          <cell r="H427" t="str">
            <v>% uplift on base transport emissions</v>
          </cell>
          <cell r="BG427" t="str">
            <v>Chilled Energy Use</v>
          </cell>
        </row>
        <row r="428">
          <cell r="F428" t="str">
            <v>Additional fuel use for Chilled Products - Container Ship</v>
          </cell>
          <cell r="G428">
            <v>3.8306251635483554E-2</v>
          </cell>
          <cell r="H428" t="str">
            <v>kg CO2/container/km</v>
          </cell>
          <cell r="BG428" t="str">
            <v>Chilled_sea</v>
          </cell>
        </row>
        <row r="429">
          <cell r="F429" t="str">
            <v>Additional fuel use for Frozen Products - Container Ship</v>
          </cell>
          <cell r="G429">
            <v>1.5322500654193423E-2</v>
          </cell>
          <cell r="H429" t="str">
            <v>kg CO2/tonne/km</v>
          </cell>
          <cell r="BG429" t="str">
            <v>Chilled_sea</v>
          </cell>
        </row>
        <row r="430">
          <cell r="F430" t="str">
            <v>Waste Lorry</v>
          </cell>
          <cell r="G430">
            <v>2.2259028338363424E-2</v>
          </cell>
          <cell r="H430" t="str">
            <v>kg CO2e / kg waste</v>
          </cell>
          <cell r="BG430" t="str">
            <v>Waste_Transport</v>
          </cell>
        </row>
        <row r="431">
          <cell r="F431" t="str">
            <v>Rail (diesel)</v>
          </cell>
          <cell r="G431">
            <v>2.3780419265447099E-2</v>
          </cell>
          <cell r="H431" t="str">
            <v>kg CO2/tonne/km</v>
          </cell>
          <cell r="BG431" t="str">
            <v>Rail Emissions Factor</v>
          </cell>
        </row>
        <row r="432">
          <cell r="F432" t="str">
            <v xml:space="preserve">Rail (electric) </v>
          </cell>
          <cell r="G432">
            <v>4.2700000000000002E-2</v>
          </cell>
          <cell r="H432" t="str">
            <v>kWh/tonne/km</v>
          </cell>
          <cell r="BG432" t="str">
            <v>Rail Emissions Factor</v>
          </cell>
        </row>
        <row r="433">
          <cell r="F433" t="str">
            <v>Air Long Haul</v>
          </cell>
          <cell r="G433">
            <v>0.68655117367941421</v>
          </cell>
          <cell r="H433" t="str">
            <v>kg CO2/tonne/km</v>
          </cell>
          <cell r="BG433" t="str">
            <v>Air Transport Factor</v>
          </cell>
        </row>
        <row r="434">
          <cell r="F434" t="str">
            <v>Air Short Haul</v>
          </cell>
          <cell r="G434">
            <v>2.150287339345756</v>
          </cell>
          <cell r="H434" t="str">
            <v>kg CO2/tonne/km</v>
          </cell>
          <cell r="BG434" t="str">
            <v>Air Transport Factor</v>
          </cell>
        </row>
        <row r="435">
          <cell r="F435" t="str">
            <v xml:space="preserve">Tanker - Small </v>
          </cell>
          <cell r="G435">
            <v>2.264801834804489E-2</v>
          </cell>
          <cell r="H435" t="str">
            <v>kg CO2/tonne/km</v>
          </cell>
          <cell r="BG435" t="str">
            <v>Sea Emissions Factor</v>
          </cell>
        </row>
        <row r="436">
          <cell r="F436" t="str">
            <v xml:space="preserve">Tanker - Large </v>
          </cell>
          <cell r="G436">
            <v>5.5687052681115765E-3</v>
          </cell>
          <cell r="H436" t="str">
            <v>kg CO2/tonne/km</v>
          </cell>
          <cell r="BG436" t="str">
            <v>Sea Emissions Factor</v>
          </cell>
        </row>
        <row r="437">
          <cell r="F437" t="str">
            <v xml:space="preserve">Tanker - Very Large </v>
          </cell>
          <cell r="G437">
            <v>4.454964214489261E-3</v>
          </cell>
          <cell r="H437" t="str">
            <v>kg CO2/tonne/km</v>
          </cell>
          <cell r="BG437" t="str">
            <v>Sea Emissions Factor</v>
          </cell>
        </row>
        <row r="438">
          <cell r="F438" t="str">
            <v xml:space="preserve">Bulk Carrier - Small </v>
          </cell>
          <cell r="G438">
            <v>1.2456410091424688E-2</v>
          </cell>
          <cell r="H438" t="str">
            <v>kg CO2/tonne/km</v>
          </cell>
          <cell r="BG438" t="str">
            <v>Sea Emissions Factor</v>
          </cell>
        </row>
        <row r="439">
          <cell r="F439" t="str">
            <v>Bulk Carrier - Large</v>
          </cell>
          <cell r="G439">
            <v>7.7961873753562075E-3</v>
          </cell>
          <cell r="H439" t="str">
            <v>kg CO2/tonne/km</v>
          </cell>
          <cell r="BG439" t="str">
            <v>Sea Emissions Factor</v>
          </cell>
        </row>
        <row r="440">
          <cell r="F440" t="str">
            <v>Container Vessel - Small</v>
          </cell>
          <cell r="G440">
            <v>1.6986013761033668E-2</v>
          </cell>
          <cell r="H440" t="str">
            <v>kg CO2/tonne/km</v>
          </cell>
          <cell r="BG440" t="str">
            <v>Sea Emissions Factor</v>
          </cell>
        </row>
        <row r="441">
          <cell r="F441" t="str">
            <v xml:space="preserve">Container Vessel - Large </v>
          </cell>
          <cell r="G441">
            <v>1.4478633697090099E-2</v>
          </cell>
          <cell r="H441" t="str">
            <v>kg CO2/tonne/km</v>
          </cell>
          <cell r="BG441" t="str">
            <v>Sea Emissions Factor</v>
          </cell>
        </row>
        <row r="442">
          <cell r="F442" t="str">
            <v>Refrigerant loss from sea freight</v>
          </cell>
          <cell r="G442">
            <v>3.4843995730782736E-3</v>
          </cell>
          <cell r="H442" t="str">
            <v>kg CO2/tonne/km</v>
          </cell>
          <cell r="BG442" t="str">
            <v>Chilled_sea</v>
          </cell>
        </row>
        <row r="443">
          <cell r="F443" t="str">
            <v>Additional fuel use for Chilled Products - Container Ship</v>
          </cell>
          <cell r="G443">
            <v>8.2000820008200083E-5</v>
          </cell>
          <cell r="H443" t="str">
            <v>kg CO2/container/km</v>
          </cell>
          <cell r="BG443" t="str">
            <v>Chilled_sea</v>
          </cell>
        </row>
        <row r="444">
          <cell r="F444" t="str">
            <v>Additional fuel use for Chilled Products - Container Ship</v>
          </cell>
          <cell r="G444">
            <v>0</v>
          </cell>
          <cell r="H444" t="str">
            <v>kg CO2/tonne/km</v>
          </cell>
          <cell r="BG444" t="str">
            <v>Chilled_sea</v>
          </cell>
        </row>
        <row r="445">
          <cell r="F445" t="str">
            <v>Average Distance to between RDC and Store (UK)</v>
          </cell>
          <cell r="G445">
            <v>60</v>
          </cell>
          <cell r="H445" t="str">
            <v>Miles</v>
          </cell>
          <cell r="BG445" t="str">
            <v>Port Storage</v>
          </cell>
        </row>
        <row r="446">
          <cell r="F446" t="str">
            <v>Average Storage at port Newsprint</v>
          </cell>
          <cell r="G446">
            <v>50</v>
          </cell>
          <cell r="H446" t="str">
            <v>days</v>
          </cell>
          <cell r="BG446" t="str">
            <v>Port Storage</v>
          </cell>
        </row>
        <row r="447">
          <cell r="F447" t="str">
            <v>Average Storage at Port - Paper and other Packing materials</v>
          </cell>
          <cell r="G447">
            <v>20</v>
          </cell>
          <cell r="H447" t="str">
            <v>days</v>
          </cell>
          <cell r="BG447" t="str">
            <v>Port Storage</v>
          </cell>
        </row>
        <row r="448">
          <cell r="F448" t="str">
            <v>Average Storage at Port - Perishables</v>
          </cell>
          <cell r="G448">
            <v>1</v>
          </cell>
          <cell r="H448" t="str">
            <v>days</v>
          </cell>
          <cell r="BG448" t="str">
            <v>Port Storage</v>
          </cell>
        </row>
        <row r="449">
          <cell r="F449" t="str">
            <v>Average Storage at port -Timber</v>
          </cell>
          <cell r="G449">
            <v>30</v>
          </cell>
          <cell r="H449" t="str">
            <v>days</v>
          </cell>
          <cell r="BG449" t="str">
            <v>Port Storage</v>
          </cell>
        </row>
        <row r="450">
          <cell r="F450" t="str">
            <v>Passenger - Small petrol car, up to 1.4 litre engine</v>
          </cell>
          <cell r="G450">
            <v>0.18200000000000002</v>
          </cell>
          <cell r="H450" t="str">
            <v>kg CO2e/km</v>
          </cell>
        </row>
        <row r="451">
          <cell r="F451" t="str">
            <v>Passenger - Medium petrol car, from 1.4 - 2.0 litres</v>
          </cell>
          <cell r="G451">
            <v>0.21493999999999999</v>
          </cell>
          <cell r="H451" t="str">
            <v>kg CO2e/km</v>
          </cell>
        </row>
        <row r="452">
          <cell r="F452" t="str">
            <v>Passenger - Large petrol cars, above 2.0 litres</v>
          </cell>
          <cell r="G452">
            <v>0.29760999999999999</v>
          </cell>
          <cell r="H452" t="str">
            <v>kg CO2e/km</v>
          </cell>
        </row>
        <row r="453">
          <cell r="F453" t="str">
            <v>Passenger - Small diesel car, up to 1.4 litre engine</v>
          </cell>
          <cell r="G453">
            <v>0.15276999999999999</v>
          </cell>
          <cell r="H453" t="str">
            <v>kg CO2e/km</v>
          </cell>
        </row>
        <row r="454">
          <cell r="F454" t="str">
            <v>Passenger - Medium diesel car, from 1.4 - 2.0 litres</v>
          </cell>
          <cell r="G454">
            <v>0.18938999999999998</v>
          </cell>
          <cell r="H454" t="str">
            <v>kg CO2e/km</v>
          </cell>
        </row>
        <row r="455">
          <cell r="F455" t="str">
            <v>Passenger - Large diesel cars, above 2.0 litres</v>
          </cell>
          <cell r="G455">
            <v>0.25762000000000007</v>
          </cell>
          <cell r="H455" t="str">
            <v>kg CO2e/km</v>
          </cell>
        </row>
        <row r="456">
          <cell r="F456" t="str">
            <v>Passenger - Average diesel car</v>
          </cell>
          <cell r="G456">
            <v>0.19833999999999999</v>
          </cell>
          <cell r="H456" t="str">
            <v>kg CO2e/km</v>
          </cell>
        </row>
        <row r="457">
          <cell r="F457" t="str">
            <v>Passenger - Medium petrol hybrid car</v>
          </cell>
          <cell r="G457">
            <v>0.12822000000000003</v>
          </cell>
          <cell r="H457" t="str">
            <v>kg CO2e/km</v>
          </cell>
        </row>
        <row r="458">
          <cell r="F458" t="str">
            <v>Passenger - Large petrol hybrid car</v>
          </cell>
          <cell r="G458">
            <v>0.22600000000000001</v>
          </cell>
          <cell r="H458" t="str">
            <v>kg CO2e/km</v>
          </cell>
        </row>
        <row r="459">
          <cell r="F459" t="str">
            <v>Passenger - Medium LPG or CNG car</v>
          </cell>
          <cell r="G459">
            <v>0.18834000000000001</v>
          </cell>
          <cell r="H459" t="str">
            <v>kg CO2e/km</v>
          </cell>
        </row>
        <row r="460">
          <cell r="F460" t="str">
            <v>Passenger - Large LPG or CNG car</v>
          </cell>
          <cell r="G460">
            <v>0.26068000000000002</v>
          </cell>
          <cell r="H460" t="str">
            <v>kg CO2e/km</v>
          </cell>
        </row>
        <row r="461">
          <cell r="F461" t="str">
            <v>Passenger - Average LPG or CNG car</v>
          </cell>
          <cell r="G461">
            <v>0.22452</v>
          </cell>
          <cell r="H461" t="str">
            <v>kg CO2e/km</v>
          </cell>
        </row>
        <row r="462">
          <cell r="F462" t="str">
            <v>Passenger - Petrol van up to 1.25 tonne</v>
          </cell>
          <cell r="G462">
            <v>0.22824000000000003</v>
          </cell>
          <cell r="H462" t="str">
            <v>kg CO2e/km</v>
          </cell>
        </row>
        <row r="463">
          <cell r="F463" t="str">
            <v>Passenger - Diesel van (Class I), up to 1.305 tonne</v>
          </cell>
          <cell r="G463">
            <v>0.16197</v>
          </cell>
          <cell r="H463" t="str">
            <v>kg CO2e/km</v>
          </cell>
        </row>
        <row r="464">
          <cell r="F464" t="str">
            <v>Passenger - Diesel van (Class II), 1.305 to 1.74 tonne</v>
          </cell>
          <cell r="G464">
            <v>0.22645000000000001</v>
          </cell>
          <cell r="H464" t="str">
            <v>kg CO2e/km</v>
          </cell>
        </row>
        <row r="465">
          <cell r="F465" t="str">
            <v>Passenger - Diesel van (Class III), 1.74 to 3.5 tonne</v>
          </cell>
          <cell r="G465">
            <v>0.30135999999999996</v>
          </cell>
          <cell r="H465" t="str">
            <v>kg CO2e/km</v>
          </cell>
        </row>
        <row r="466">
          <cell r="F466" t="str">
            <v>Passenger - Medium petrol motorbike (125-500cc)</v>
          </cell>
          <cell r="G466">
            <v>0.10568</v>
          </cell>
          <cell r="H466" t="str">
            <v>kg CO2e/km</v>
          </cell>
        </row>
        <row r="467">
          <cell r="F467" t="str">
            <v>Passenger - Large petrol motorbike (over 500cc)</v>
          </cell>
          <cell r="G467">
            <v>0.13977000000000001</v>
          </cell>
          <cell r="H467" t="str">
            <v>kg CO2e/km</v>
          </cell>
        </row>
        <row r="468">
          <cell r="F468" t="str">
            <v>Passenger - Regular taxi</v>
          </cell>
          <cell r="G468">
            <v>0.15964999999999999</v>
          </cell>
          <cell r="H468" t="str">
            <v>kg CO2e/passenger km</v>
          </cell>
        </row>
        <row r="469">
          <cell r="F469" t="str">
            <v>Passenger - Black cab</v>
          </cell>
          <cell r="G469">
            <v>0.17173999999999998</v>
          </cell>
          <cell r="H469" t="str">
            <v>kg CO2e/passenger km</v>
          </cell>
        </row>
        <row r="470">
          <cell r="F470" t="str">
            <v>Passenger - Passenger - Local bus</v>
          </cell>
          <cell r="G470">
            <v>0.11152999999999999</v>
          </cell>
          <cell r="H470" t="str">
            <v>kg CO2e/passenger km</v>
          </cell>
        </row>
        <row r="471">
          <cell r="F471" t="str">
            <v>Passenger - Passenger - London bus</v>
          </cell>
          <cell r="G471">
            <v>8.3770000000000011E-2</v>
          </cell>
          <cell r="H471" t="str">
            <v>kg CO2e/passenger km</v>
          </cell>
        </row>
        <row r="472">
          <cell r="F472" t="str">
            <v>Passenger - Average bus</v>
          </cell>
          <cell r="G472">
            <v>0.10462</v>
          </cell>
          <cell r="H472" t="str">
            <v>kg CO2e/passenger km</v>
          </cell>
        </row>
        <row r="473">
          <cell r="F473" t="str">
            <v>Passenger - Coach</v>
          </cell>
          <cell r="G473">
            <v>3.0619999999999998E-2</v>
          </cell>
          <cell r="H473" t="str">
            <v>kg CO2e/passenger km</v>
          </cell>
        </row>
        <row r="474">
          <cell r="F474" t="str">
            <v>Passenger - Average bus and coach</v>
          </cell>
          <cell r="G474">
            <v>6.9120000000000001E-2</v>
          </cell>
          <cell r="H474" t="str">
            <v>kg CO2e/passenger km</v>
          </cell>
        </row>
        <row r="475">
          <cell r="F475" t="str">
            <v>Passenger - National rail</v>
          </cell>
          <cell r="G475">
            <v>6.1129999999999997E-2</v>
          </cell>
          <cell r="H475" t="str">
            <v>kg CO2e/passenger km</v>
          </cell>
        </row>
        <row r="476">
          <cell r="F476" t="str">
            <v>Passenger - International rail (Eurostar)</v>
          </cell>
          <cell r="G476">
            <v>1.7779999999999997E-2</v>
          </cell>
          <cell r="H476" t="str">
            <v>kg CO2e/passenger km</v>
          </cell>
        </row>
        <row r="477">
          <cell r="F477" t="str">
            <v>Passenger - Light rail and tram</v>
          </cell>
          <cell r="G477">
            <v>8.3989999999999995E-2</v>
          </cell>
          <cell r="H477" t="str">
            <v>kg CO2e/passenger km</v>
          </cell>
        </row>
        <row r="478">
          <cell r="F478" t="str">
            <v>Passenger - London Underground</v>
          </cell>
          <cell r="G478">
            <v>7.8549999999999995E-2</v>
          </cell>
          <cell r="H478" t="str">
            <v>kg CO2e/passenger km</v>
          </cell>
        </row>
        <row r="479">
          <cell r="F479" t="str">
            <v>Passenger - Air Short Haul Economy Class</v>
          </cell>
          <cell r="G479">
            <v>9.4579999999999997E-2</v>
          </cell>
          <cell r="H479" t="str">
            <v>kg CO2e/passenger km</v>
          </cell>
        </row>
        <row r="480">
          <cell r="F480" t="str">
            <v>Passenger - Air Short Haul Business Class</v>
          </cell>
          <cell r="G480">
            <v>0.14186000000000001</v>
          </cell>
          <cell r="H480" t="str">
            <v>kg CO2e/passenger km</v>
          </cell>
        </row>
        <row r="481">
          <cell r="F481" t="str">
            <v>Passenger - Air Short Haul Average</v>
          </cell>
          <cell r="G481">
            <v>9.9239999999999995E-2</v>
          </cell>
          <cell r="H481" t="str">
            <v>kg CO2e/passenger km</v>
          </cell>
        </row>
        <row r="482">
          <cell r="F482" t="str">
            <v>Passenger -Air Long Haul Travel Economy class</v>
          </cell>
          <cell r="G482">
            <v>8.2720000000000002E-2</v>
          </cell>
          <cell r="H482" t="str">
            <v>kg CO2e/passenger km</v>
          </cell>
        </row>
        <row r="483">
          <cell r="F483" t="str">
            <v>Passenger - Air Travel Long Haul Premium economy class</v>
          </cell>
          <cell r="G483">
            <v>0.13235000000000002</v>
          </cell>
          <cell r="H483" t="str">
            <v>kg CO2e/passenger km</v>
          </cell>
        </row>
        <row r="484">
          <cell r="F484" t="str">
            <v>Passenger - Air Travel Business class</v>
          </cell>
          <cell r="G484">
            <v>0.23988000000000001</v>
          </cell>
          <cell r="H484" t="str">
            <v>kg CO2e/passenger km</v>
          </cell>
        </row>
        <row r="485">
          <cell r="F485" t="str">
            <v>Passenger - Air Travel Long Haul First class</v>
          </cell>
          <cell r="G485">
            <v>0.33087</v>
          </cell>
          <cell r="H485" t="str">
            <v>kg CO2e/passenger km</v>
          </cell>
        </row>
        <row r="486">
          <cell r="F486" t="str">
            <v>Passenger - Air Travel Long Haul Average</v>
          </cell>
          <cell r="G486">
            <v>0.11330999999999999</v>
          </cell>
          <cell r="H486" t="str">
            <v>kg CO2e/passenger km</v>
          </cell>
        </row>
        <row r="487">
          <cell r="F487" t="str">
            <v>EU- Virgin PET Bottle Grade</v>
          </cell>
          <cell r="G487">
            <v>3.4</v>
          </cell>
          <cell r="H487" t="str">
            <v>kg CO2(e)/kg</v>
          </cell>
          <cell r="BG487" t="str">
            <v>EV</v>
          </cell>
        </row>
        <row r="488">
          <cell r="F488" t="str">
            <v>EU- Virgin PET Bottles</v>
          </cell>
          <cell r="G488">
            <v>4.7</v>
          </cell>
          <cell r="H488" t="str">
            <v>kg CO2(e)/kg</v>
          </cell>
          <cell r="BG488" t="str">
            <v>EV</v>
          </cell>
        </row>
        <row r="489">
          <cell r="F489" t="str">
            <v>EU- Virgin  PET Film</v>
          </cell>
          <cell r="G489">
            <v>5.4</v>
          </cell>
          <cell r="H489" t="str">
            <v>kg CO2(e)/kg</v>
          </cell>
          <cell r="BG489" t="str">
            <v>EV</v>
          </cell>
        </row>
        <row r="490">
          <cell r="F490" t="str">
            <v>EU- Virgin HDPE Resin</v>
          </cell>
          <cell r="G490">
            <v>1.9</v>
          </cell>
          <cell r="H490" t="str">
            <v>kg CO2(e)/kg</v>
          </cell>
          <cell r="BG490" t="str">
            <v>EV</v>
          </cell>
        </row>
        <row r="491">
          <cell r="F491" t="str">
            <v>EU- Virgin LDPE Resin</v>
          </cell>
          <cell r="G491">
            <v>2.1</v>
          </cell>
          <cell r="H491" t="str">
            <v>kg CO2(e)/kg</v>
          </cell>
          <cell r="BG491" t="str">
            <v>EV</v>
          </cell>
        </row>
        <row r="492">
          <cell r="F492" t="str">
            <v>EU- Virgin HDPE bottles</v>
          </cell>
          <cell r="G492">
            <v>2.83</v>
          </cell>
          <cell r="H492" t="str">
            <v>kg CO2(e)/kg</v>
          </cell>
          <cell r="BG492" t="str">
            <v>EV</v>
          </cell>
        </row>
        <row r="493">
          <cell r="F493" t="str">
            <v>EU- Virgin HDPE pipe</v>
          </cell>
          <cell r="G493">
            <v>2.4569999999999999</v>
          </cell>
          <cell r="H493" t="str">
            <v>kg CO2(e)/kg</v>
          </cell>
          <cell r="BG493" t="str">
            <v>EV</v>
          </cell>
        </row>
        <row r="494">
          <cell r="F494" t="str">
            <v>EU- Virgin LDPE Film</v>
          </cell>
          <cell r="G494">
            <v>2.16</v>
          </cell>
          <cell r="H494" t="str">
            <v>kg CO2(e)/kg</v>
          </cell>
          <cell r="BG494" t="str">
            <v>EV</v>
          </cell>
        </row>
        <row r="495">
          <cell r="F495" t="str">
            <v>EU- Virgin PP Resin</v>
          </cell>
          <cell r="G495">
            <v>2</v>
          </cell>
          <cell r="H495" t="str">
            <v>kg CO2(e)/kg</v>
          </cell>
          <cell r="BG495" t="str">
            <v>EV</v>
          </cell>
        </row>
        <row r="496">
          <cell r="F496" t="str">
            <v>EU- Virgin OPP Film</v>
          </cell>
          <cell r="G496">
            <v>2.96</v>
          </cell>
          <cell r="H496" t="str">
            <v>kg CO2(e)/kg</v>
          </cell>
          <cell r="BG496" t="str">
            <v>EV</v>
          </cell>
        </row>
        <row r="497">
          <cell r="F497" t="str">
            <v>EU- Virgin PVC Film</v>
          </cell>
          <cell r="G497">
            <v>3.0840000000000001</v>
          </cell>
          <cell r="H497" t="str">
            <v>kg CO2(e)/kg</v>
          </cell>
          <cell r="BG497" t="str">
            <v>EV</v>
          </cell>
        </row>
        <row r="498">
          <cell r="F498" t="str">
            <v>EU- Virgin Polystyrene (Expandable)</v>
          </cell>
          <cell r="G498">
            <v>3.3</v>
          </cell>
          <cell r="H498" t="str">
            <v>kg CO2(e)/kg</v>
          </cell>
          <cell r="BG498" t="str">
            <v>EV</v>
          </cell>
        </row>
        <row r="499">
          <cell r="F499" t="str">
            <v>EU- Virgin Polystyrene (General Purpose)</v>
          </cell>
          <cell r="G499">
            <v>3.4</v>
          </cell>
          <cell r="H499" t="str">
            <v>kg CO2(e)/kg</v>
          </cell>
          <cell r="BG499" t="str">
            <v>EV</v>
          </cell>
        </row>
        <row r="500">
          <cell r="F500" t="str">
            <v>EU- Virgin Carton Board Box</v>
          </cell>
          <cell r="G500">
            <v>3.4870000000000001</v>
          </cell>
          <cell r="H500" t="str">
            <v>kg CO2(e)/kg</v>
          </cell>
          <cell r="BG500" t="str">
            <v>EV</v>
          </cell>
        </row>
        <row r="501">
          <cell r="F501" t="str">
            <v>EU- Virgin Corrugate Box</v>
          </cell>
          <cell r="G501">
            <v>2.9535000000000005</v>
          </cell>
          <cell r="H501" t="str">
            <v>kg CO2(e)/kg</v>
          </cell>
          <cell r="BG501" t="str">
            <v>EV</v>
          </cell>
        </row>
        <row r="502">
          <cell r="F502" t="str">
            <v>EU- Virgin Aluminium (General Use)</v>
          </cell>
          <cell r="G502">
            <v>11.46</v>
          </cell>
          <cell r="H502" t="str">
            <v>kg CO2/kg</v>
          </cell>
          <cell r="BG502" t="str">
            <v>EV</v>
          </cell>
        </row>
        <row r="503">
          <cell r="F503" t="str">
            <v>EU- Virgin Aluminium (Cast)</v>
          </cell>
          <cell r="G503">
            <v>11.7</v>
          </cell>
          <cell r="H503" t="str">
            <v>kg CO2/kg</v>
          </cell>
          <cell r="BG503" t="str">
            <v>EV</v>
          </cell>
        </row>
        <row r="504">
          <cell r="F504" t="str">
            <v>EU- Virgin Aluminium (Extruded)</v>
          </cell>
          <cell r="G504">
            <v>11.2</v>
          </cell>
          <cell r="H504" t="str">
            <v>kg CO2/kg</v>
          </cell>
          <cell r="BG504" t="str">
            <v>EV</v>
          </cell>
        </row>
        <row r="505">
          <cell r="F505" t="str">
            <v>EU- Virgin Aluminium (Rolled)</v>
          </cell>
          <cell r="G505">
            <v>11.5</v>
          </cell>
          <cell r="H505" t="str">
            <v>kg CO2/kg</v>
          </cell>
          <cell r="BG505" t="str">
            <v>EV</v>
          </cell>
        </row>
        <row r="506">
          <cell r="F506" t="str">
            <v>EU - Virgin Steel (General Use)</v>
          </cell>
          <cell r="G506">
            <v>2.75</v>
          </cell>
          <cell r="H506" t="str">
            <v>kg CO2/kg</v>
          </cell>
          <cell r="BG506" t="str">
            <v>EV</v>
          </cell>
        </row>
        <row r="507">
          <cell r="F507" t="str">
            <v>EU - Virgin Steel (Bar and Rod)</v>
          </cell>
          <cell r="G507">
            <v>2.68</v>
          </cell>
          <cell r="H507" t="str">
            <v>kg CO2/kg</v>
          </cell>
          <cell r="BG507" t="str">
            <v>EV</v>
          </cell>
        </row>
        <row r="508">
          <cell r="F508" t="str">
            <v>EU - Virgin Steel (Plate)</v>
          </cell>
          <cell r="G508">
            <v>3.19</v>
          </cell>
          <cell r="H508" t="str">
            <v>kg CO2/kg</v>
          </cell>
          <cell r="BG508" t="str">
            <v>EV</v>
          </cell>
        </row>
        <row r="509">
          <cell r="F509" t="str">
            <v>EU - Virgin Steel (Sheet)</v>
          </cell>
          <cell r="G509">
            <v>2.5099999999999998</v>
          </cell>
          <cell r="H509" t="str">
            <v>kg CO2/kg</v>
          </cell>
          <cell r="BG509" t="str">
            <v>EV</v>
          </cell>
        </row>
        <row r="510">
          <cell r="F510" t="str">
            <v>US - Virgin HDPE Resin</v>
          </cell>
          <cell r="G510">
            <v>1.478</v>
          </cell>
          <cell r="H510" t="str">
            <v>kg CO2(e)/kg</v>
          </cell>
          <cell r="BG510" t="str">
            <v>EV</v>
          </cell>
        </row>
        <row r="511">
          <cell r="F511" t="str">
            <v>US - Virgin LDPE Resin</v>
          </cell>
          <cell r="G511">
            <v>1.4770000000000001</v>
          </cell>
          <cell r="H511" t="str">
            <v>kg CO2(e)/kg</v>
          </cell>
          <cell r="BG511" t="str">
            <v>EV</v>
          </cell>
        </row>
        <row r="512">
          <cell r="F512" t="str">
            <v>US - Virgin LLDPE Resin</v>
          </cell>
          <cell r="G512">
            <v>1.4790000000000001</v>
          </cell>
          <cell r="H512" t="str">
            <v>kg CO2(e)/kg</v>
          </cell>
          <cell r="BG512" t="str">
            <v>EV</v>
          </cell>
        </row>
        <row r="513">
          <cell r="F513" t="str">
            <v>US - Virgin PP Resin</v>
          </cell>
          <cell r="G513">
            <v>1.343</v>
          </cell>
          <cell r="H513" t="str">
            <v>kg CO2(e)/kg</v>
          </cell>
          <cell r="BG513" t="str">
            <v>EV</v>
          </cell>
        </row>
        <row r="514">
          <cell r="F514" t="str">
            <v>US - Virgin PET Resin</v>
          </cell>
          <cell r="G514">
            <v>2.5379999999999998</v>
          </cell>
          <cell r="H514" t="str">
            <v>kg CO2(e)/kg</v>
          </cell>
          <cell r="BG514" t="str">
            <v>EV</v>
          </cell>
        </row>
        <row r="515">
          <cell r="F515" t="str">
            <v>US - Virgin GPPS Resin</v>
          </cell>
          <cell r="G515">
            <v>2.7629999999999999</v>
          </cell>
          <cell r="H515" t="str">
            <v>kg CO2(e)/kg</v>
          </cell>
          <cell r="BG515" t="str">
            <v>EV</v>
          </cell>
        </row>
        <row r="516">
          <cell r="F516" t="str">
            <v>US - Virgin HIPS Resin</v>
          </cell>
          <cell r="G516">
            <v>2.7570000000000001</v>
          </cell>
          <cell r="H516" t="str">
            <v>kg CO2(e)/kg</v>
          </cell>
          <cell r="BG516" t="str">
            <v>EV</v>
          </cell>
        </row>
        <row r="517">
          <cell r="F517" t="str">
            <v>US - Virgin PVC Resin</v>
          </cell>
          <cell r="G517">
            <v>2.0289999999999999</v>
          </cell>
          <cell r="H517" t="str">
            <v>kg CO2(e)/kg</v>
          </cell>
          <cell r="BG517" t="str">
            <v>EV</v>
          </cell>
        </row>
        <row r="518">
          <cell r="F518" t="str">
            <v>US - Virgin ABS Resin</v>
          </cell>
          <cell r="G518">
            <v>3.149</v>
          </cell>
          <cell r="H518" t="str">
            <v>kg CO2(e)/kg</v>
          </cell>
          <cell r="BG518" t="str">
            <v>EV</v>
          </cell>
        </row>
        <row r="519">
          <cell r="F519" t="str">
            <v>US - Virgin Rigid Foam Polyurethane</v>
          </cell>
          <cell r="G519">
            <v>3.3769999999999998</v>
          </cell>
          <cell r="H519" t="str">
            <v>kg CO2(e)/kg</v>
          </cell>
          <cell r="BG519" t="str">
            <v>EV</v>
          </cell>
        </row>
        <row r="520">
          <cell r="F520" t="str">
            <v>US - Virgin Flexible Foam Polyurethane</v>
          </cell>
          <cell r="G520">
            <v>3.633</v>
          </cell>
          <cell r="H520" t="str">
            <v>kg CO2(e)/kg</v>
          </cell>
          <cell r="BG520" t="str">
            <v>EV</v>
          </cell>
        </row>
        <row r="521">
          <cell r="F521" t="str">
            <v>EU - Recycled PET Bottle Grade</v>
          </cell>
          <cell r="G521">
            <v>1.1599999999999999</v>
          </cell>
          <cell r="H521" t="str">
            <v>kg CO2(e)/kg</v>
          </cell>
          <cell r="BG521" t="str">
            <v>ER</v>
          </cell>
        </row>
        <row r="522">
          <cell r="F522" t="str">
            <v>EU - Recycled PET Bottles</v>
          </cell>
          <cell r="G522">
            <v>1.6</v>
          </cell>
          <cell r="H522" t="str">
            <v>kg CO2(e)/kg</v>
          </cell>
          <cell r="BG522" t="str">
            <v>ER</v>
          </cell>
        </row>
        <row r="523">
          <cell r="F523" t="str">
            <v>EU - Recycled Corrugated box (single wall)</v>
          </cell>
          <cell r="G523">
            <v>1.3101000000000003</v>
          </cell>
          <cell r="H523" t="str">
            <v>kg CO2(e)/kg</v>
          </cell>
          <cell r="BG523" t="str">
            <v>ER</v>
          </cell>
        </row>
        <row r="524">
          <cell r="F524" t="str">
            <v>EU- Recycled Corrugated box (double wall)</v>
          </cell>
          <cell r="G524">
            <v>1.6753000000000002</v>
          </cell>
          <cell r="H524" t="str">
            <v>kg CO2(e)/kg</v>
          </cell>
          <cell r="BG524" t="str">
            <v>ER</v>
          </cell>
        </row>
        <row r="525">
          <cell r="F525" t="str">
            <v>EU- Recycled aluminium (general Use)</v>
          </cell>
          <cell r="G525">
            <v>1.69</v>
          </cell>
          <cell r="H525" t="str">
            <v>kg CO2/kg</v>
          </cell>
          <cell r="BG525" t="str">
            <v>ER</v>
          </cell>
        </row>
        <row r="526">
          <cell r="F526" t="str">
            <v>EU- Recycled aluminium (cast)</v>
          </cell>
          <cell r="G526">
            <v>1.35</v>
          </cell>
          <cell r="H526" t="str">
            <v>kg CO2/kg</v>
          </cell>
          <cell r="BG526" t="str">
            <v>ER</v>
          </cell>
        </row>
        <row r="527">
          <cell r="F527" t="str">
            <v>EU- Recycled aluminium (extruded)</v>
          </cell>
          <cell r="G527">
            <v>1.98</v>
          </cell>
          <cell r="H527" t="str">
            <v>kg CO2/kg</v>
          </cell>
          <cell r="BG527" t="str">
            <v>ER</v>
          </cell>
        </row>
        <row r="528">
          <cell r="F528" t="str">
            <v>EU- Recycled aluminium (rolled)</v>
          </cell>
          <cell r="G528">
            <v>1.67</v>
          </cell>
          <cell r="H528" t="str">
            <v>kg CO2/kg</v>
          </cell>
          <cell r="BG528" t="str">
            <v>ER</v>
          </cell>
        </row>
        <row r="529">
          <cell r="F529" t="str">
            <v>EU - Recycled Steel (general use)</v>
          </cell>
          <cell r="G529">
            <v>0.43</v>
          </cell>
          <cell r="H529" t="str">
            <v>kg CO2/kg</v>
          </cell>
          <cell r="BG529" t="str">
            <v>ER</v>
          </cell>
        </row>
        <row r="530">
          <cell r="F530" t="str">
            <v>EU - Recycled steel (bar and rod)</v>
          </cell>
          <cell r="G530">
            <v>0.42</v>
          </cell>
          <cell r="H530" t="str">
            <v>kg CO2/kg</v>
          </cell>
          <cell r="BG530" t="str">
            <v>ER</v>
          </cell>
        </row>
        <row r="531">
          <cell r="F531" t="str">
            <v>Waste Treatment: Dense Plastics</v>
          </cell>
          <cell r="G531">
            <v>4.0168400000000007E-3</v>
          </cell>
          <cell r="H531" t="str">
            <v>kg CO2(e)/kg waste</v>
          </cell>
        </row>
        <row r="532">
          <cell r="F532" t="str">
            <v>Waste Treatment: Commercial Corrugate Card</v>
          </cell>
          <cell r="G532">
            <v>1.0059283197344025E-2</v>
          </cell>
          <cell r="H532" t="str">
            <v>kg CO2(e)/kg waste</v>
          </cell>
        </row>
        <row r="533">
          <cell r="F533" t="str">
            <v>Waste Treatment: Plastic Films</v>
          </cell>
          <cell r="G533">
            <v>3.50374E-3</v>
          </cell>
          <cell r="H533" t="str">
            <v>kg CO2(e)/kg waste</v>
          </cell>
        </row>
        <row r="534">
          <cell r="F534" t="str">
            <v>Waste Treatment: Packaging Paper</v>
          </cell>
          <cell r="G534">
            <v>3.2121041023103487E-2</v>
          </cell>
          <cell r="H534" t="str">
            <v>kg CO2(e)/kg waste</v>
          </cell>
        </row>
        <row r="535">
          <cell r="F535" t="str">
            <v>Waste Treatment: Food Waste</v>
          </cell>
          <cell r="G535">
            <v>0.16812363410276543</v>
          </cell>
          <cell r="H535" t="str">
            <v>kg CO2(e)/kg waste</v>
          </cell>
        </row>
        <row r="536">
          <cell r="F536" t="str">
            <v>Biogenic Carbon Content - Paper and Card</v>
          </cell>
          <cell r="G536">
            <v>0.31900000000000001</v>
          </cell>
          <cell r="H536" t="str">
            <v>%</v>
          </cell>
          <cell r="BG536" t="str">
            <v>Biogenic_CC</v>
          </cell>
        </row>
        <row r="537">
          <cell r="F537" t="str">
            <v>Biogenic Carbon Content - Kitchen/Food Waste</v>
          </cell>
          <cell r="G537">
            <v>0.13500000000000001</v>
          </cell>
          <cell r="H537" t="str">
            <v>%</v>
          </cell>
          <cell r="BG537" t="str">
            <v>Biogenic_CC</v>
          </cell>
        </row>
        <row r="538">
          <cell r="F538" t="str">
            <v>Biogenic Carbon Content - Green/Plant Waste</v>
          </cell>
          <cell r="G538">
            <v>0.17199999999999999</v>
          </cell>
          <cell r="H538" t="str">
            <v>%</v>
          </cell>
          <cell r="BG538" t="str">
            <v>Biogenic_CC</v>
          </cell>
        </row>
        <row r="539">
          <cell r="F539" t="str">
            <v>Biogenic Carbon Content - Other organic waste</v>
          </cell>
          <cell r="G539">
            <v>0.13500000000000001</v>
          </cell>
          <cell r="H539" t="str">
            <v>%</v>
          </cell>
          <cell r="BG539" t="str">
            <v>Biogenic_CC</v>
          </cell>
        </row>
        <row r="540">
          <cell r="F540" t="str">
            <v>Biogenic Carbon Content - Wood</v>
          </cell>
          <cell r="G540">
            <v>0.43799999999999994</v>
          </cell>
          <cell r="H540" t="str">
            <v>%</v>
          </cell>
          <cell r="BG540" t="str">
            <v>Biogenic_CC</v>
          </cell>
        </row>
        <row r="541">
          <cell r="F541" t="str">
            <v>Biogenic Carbon Content - Textiles</v>
          </cell>
          <cell r="G541">
            <v>0.19899999999999998</v>
          </cell>
          <cell r="H541" t="str">
            <v>%</v>
          </cell>
          <cell r="BG541" t="str">
            <v>Biogenic_CC</v>
          </cell>
        </row>
        <row r="542">
          <cell r="F542" t="str">
            <v>Biogenic Carbon Content - Fines</v>
          </cell>
          <cell r="G542">
            <v>6.9000000000000006E-2</v>
          </cell>
          <cell r="H542" t="str">
            <v>%</v>
          </cell>
          <cell r="BG542" t="str">
            <v>Biogenic_CC</v>
          </cell>
        </row>
        <row r="543">
          <cell r="F543" t="str">
            <v>Biogenic Carbon Content - Glass</v>
          </cell>
          <cell r="G543">
            <v>3.0000000000000001E-3</v>
          </cell>
          <cell r="H543" t="str">
            <v>%</v>
          </cell>
          <cell r="BG543" t="str">
            <v>Biogenic_CC</v>
          </cell>
        </row>
        <row r="544">
          <cell r="F544" t="str">
            <v>Biogenic Carbon Content - Plastic (dense)</v>
          </cell>
          <cell r="G544">
            <v>0</v>
          </cell>
          <cell r="H544" t="str">
            <v>%</v>
          </cell>
          <cell r="BG544" t="str">
            <v>Biogenic_CC</v>
          </cell>
        </row>
        <row r="545">
          <cell r="F545" t="str">
            <v>Biogenic Carbon Content - Plastics (film)</v>
          </cell>
          <cell r="G545">
            <v>0</v>
          </cell>
          <cell r="H545" t="str">
            <v>%</v>
          </cell>
          <cell r="BG545" t="str">
            <v>Biogenic_CC</v>
          </cell>
        </row>
        <row r="546">
          <cell r="F546" t="str">
            <v>Biogenic Carbon Content - Biogenic Carbon Content - WEEE</v>
          </cell>
          <cell r="G546">
            <v>0</v>
          </cell>
          <cell r="H546" t="str">
            <v>%</v>
          </cell>
          <cell r="BG546" t="str">
            <v>Biogenic_CC</v>
          </cell>
        </row>
        <row r="547">
          <cell r="F547" t="str">
            <v>Biogenic Carbon Content - ELVs</v>
          </cell>
          <cell r="G547">
            <v>0</v>
          </cell>
          <cell r="H547" t="str">
            <v>%</v>
          </cell>
          <cell r="BG547" t="str">
            <v>Biogenic_CC</v>
          </cell>
        </row>
        <row r="548">
          <cell r="F548" t="str">
            <v>Biogenic Carbon Content - Tyres</v>
          </cell>
          <cell r="G548">
            <v>0</v>
          </cell>
          <cell r="H548" t="str">
            <v>%</v>
          </cell>
          <cell r="BG548" t="str">
            <v>Biogenic_CC</v>
          </cell>
        </row>
        <row r="549">
          <cell r="F549" t="str">
            <v>Biogenic Carbon Content - Oils/Fuels</v>
          </cell>
          <cell r="G549">
            <v>0</v>
          </cell>
          <cell r="H549" t="str">
            <v>%</v>
          </cell>
          <cell r="BG549" t="str">
            <v>Biogenic_CC</v>
          </cell>
        </row>
        <row r="550">
          <cell r="F550" t="str">
            <v>Biogenic Carbon Content - Organic Chemicals</v>
          </cell>
          <cell r="G550">
            <v>0</v>
          </cell>
          <cell r="H550" t="str">
            <v>%</v>
          </cell>
          <cell r="BG550" t="str">
            <v>Biogenic_CC</v>
          </cell>
        </row>
        <row r="551">
          <cell r="F551" t="str">
            <v>Biogenic Carbon Content - Inorganic Chemicals</v>
          </cell>
          <cell r="G551">
            <v>0</v>
          </cell>
          <cell r="H551" t="str">
            <v>%</v>
          </cell>
          <cell r="BG551" t="str">
            <v>Biogenic_CC</v>
          </cell>
        </row>
        <row r="552">
          <cell r="F552" t="str">
            <v>Biogenic Carbon Content - Mixed Chemicals</v>
          </cell>
          <cell r="G552">
            <v>0</v>
          </cell>
          <cell r="H552" t="str">
            <v>%</v>
          </cell>
          <cell r="BG552" t="str">
            <v>Biogenic_CC</v>
          </cell>
        </row>
        <row r="553">
          <cell r="F553" t="str">
            <v>Biogenic Carbon Content - Organic Sludges</v>
          </cell>
          <cell r="G553">
            <v>0.309</v>
          </cell>
          <cell r="H553" t="str">
            <v>%</v>
          </cell>
          <cell r="BG553" t="str">
            <v>Biogenic_CC</v>
          </cell>
        </row>
        <row r="554">
          <cell r="F554" t="str">
            <v>Biogenic Carbon Content - Inorganic Sludges</v>
          </cell>
          <cell r="G554">
            <v>0</v>
          </cell>
          <cell r="H554" t="str">
            <v>%</v>
          </cell>
          <cell r="BG554" t="str">
            <v>Biogenic_CC</v>
          </cell>
        </row>
        <row r="555">
          <cell r="F555" t="str">
            <v>Biogenic Carbon Content - Absorbent hygiene</v>
          </cell>
          <cell r="G555">
            <v>0.14799999999999999</v>
          </cell>
          <cell r="H555" t="str">
            <v>%</v>
          </cell>
          <cell r="BG555" t="str">
            <v>Biogenic_CC</v>
          </cell>
        </row>
        <row r="556">
          <cell r="F556" t="str">
            <v>Biogenic Carbon Content - Silt/soil</v>
          </cell>
          <cell r="G556">
            <v>7.0000000000000007E-2</v>
          </cell>
          <cell r="H556" t="str">
            <v>%</v>
          </cell>
          <cell r="BG556" t="str">
            <v>Biogenic_CC</v>
          </cell>
        </row>
        <row r="557">
          <cell r="F557" t="str">
            <v>Biogenic Carbon Content - Combustion residues</v>
          </cell>
          <cell r="G557">
            <v>0</v>
          </cell>
          <cell r="H557" t="str">
            <v>%</v>
          </cell>
          <cell r="BG557" t="str">
            <v>Biogenic_CC</v>
          </cell>
        </row>
        <row r="558">
          <cell r="F558" t="str">
            <v>Biogenic Carbon Content - aggregates/minerals</v>
          </cell>
          <cell r="G558">
            <v>0</v>
          </cell>
          <cell r="H558" t="str">
            <v>%</v>
          </cell>
          <cell r="BG558" t="str">
            <v>Biogenic_CC</v>
          </cell>
        </row>
        <row r="559">
          <cell r="F559" t="str">
            <v>Biogenic Carbon Content - other non combustibles</v>
          </cell>
          <cell r="G559">
            <v>3.5000000000000003E-2</v>
          </cell>
          <cell r="H559" t="str">
            <v>%</v>
          </cell>
          <cell r="BG559" t="str">
            <v>Biogenic_CC</v>
          </cell>
        </row>
        <row r="560">
          <cell r="F560" t="str">
            <v>Fossil Carbon Content - Paper and Card</v>
          </cell>
          <cell r="G560">
            <v>0</v>
          </cell>
          <cell r="H560" t="str">
            <v>%</v>
          </cell>
          <cell r="BG560" t="str">
            <v>Fossil_CC</v>
          </cell>
        </row>
        <row r="561">
          <cell r="F561" t="str">
            <v>Fossil Carbon Content - Kitchen/Food Waste</v>
          </cell>
          <cell r="G561">
            <v>0</v>
          </cell>
          <cell r="H561" t="str">
            <v>%</v>
          </cell>
          <cell r="BG561" t="str">
            <v>Fossil_CC</v>
          </cell>
        </row>
        <row r="562">
          <cell r="F562" t="str">
            <v>Fossil Carbon Content - Green/Plant Waste</v>
          </cell>
          <cell r="G562">
            <v>0</v>
          </cell>
          <cell r="H562" t="str">
            <v>%</v>
          </cell>
          <cell r="BG562" t="str">
            <v>Fossil_CC</v>
          </cell>
        </row>
        <row r="563">
          <cell r="F563" t="str">
            <v>Fossil Carbon Content - Other organic waste</v>
          </cell>
          <cell r="G563">
            <v>0</v>
          </cell>
          <cell r="H563" t="str">
            <v>%</v>
          </cell>
          <cell r="BG563" t="str">
            <v>Fossil_CC</v>
          </cell>
        </row>
        <row r="564">
          <cell r="F564" t="str">
            <v>Fossil Carbon Content - Wood</v>
          </cell>
          <cell r="G564">
            <v>0</v>
          </cell>
          <cell r="H564" t="str">
            <v>%</v>
          </cell>
          <cell r="BG564" t="str">
            <v>Fossil_CC</v>
          </cell>
        </row>
        <row r="565">
          <cell r="F565" t="str">
            <v>Fossil Carbon Content - Textiles</v>
          </cell>
          <cell r="G565">
            <v>0.19899999999999998</v>
          </cell>
          <cell r="H565" t="str">
            <v>%</v>
          </cell>
          <cell r="BG565" t="str">
            <v>Fossil_CC</v>
          </cell>
        </row>
        <row r="566">
          <cell r="F566" t="str">
            <v>Fossil Carbon Content - Fines</v>
          </cell>
          <cell r="G566">
            <v>6.9000000000000006E-2</v>
          </cell>
          <cell r="H566" t="str">
            <v>%</v>
          </cell>
          <cell r="BG566" t="str">
            <v>Fossil_CC</v>
          </cell>
        </row>
        <row r="567">
          <cell r="F567" t="str">
            <v>Fossil Carbon Content - Glass</v>
          </cell>
          <cell r="G567">
            <v>0</v>
          </cell>
          <cell r="H567" t="str">
            <v>%</v>
          </cell>
          <cell r="BG567" t="str">
            <v>Fossil_CC</v>
          </cell>
        </row>
        <row r="568">
          <cell r="F568" t="str">
            <v>Fossil Carbon Content - Plastic (dense)</v>
          </cell>
          <cell r="G568">
            <v>0.54799999999999993</v>
          </cell>
          <cell r="H568" t="str">
            <v>%</v>
          </cell>
          <cell r="BG568" t="str">
            <v>Fossil_CC</v>
          </cell>
        </row>
        <row r="569">
          <cell r="F569" t="str">
            <v>Fossil Carbon Content - Plastics (film)</v>
          </cell>
          <cell r="G569">
            <v>0.47799999999999998</v>
          </cell>
          <cell r="H569" t="str">
            <v>%</v>
          </cell>
          <cell r="BG569" t="str">
            <v>Fossil_CC</v>
          </cell>
        </row>
        <row r="570">
          <cell r="F570" t="str">
            <v>Fossil Carbon Content - WEEE</v>
          </cell>
          <cell r="G570">
            <v>0.158</v>
          </cell>
          <cell r="H570" t="str">
            <v>%</v>
          </cell>
          <cell r="BG570" t="str">
            <v>Fossil_CC</v>
          </cell>
        </row>
        <row r="571">
          <cell r="F571" t="str">
            <v>Fossil Carbon Content - ELVs</v>
          </cell>
          <cell r="G571">
            <v>0.158</v>
          </cell>
          <cell r="H571" t="str">
            <v>%</v>
          </cell>
          <cell r="BG571" t="str">
            <v>Fossil_CC</v>
          </cell>
        </row>
        <row r="572">
          <cell r="F572" t="str">
            <v>Fossil Carbon Content - Tyres</v>
          </cell>
          <cell r="G572">
            <v>0.74</v>
          </cell>
          <cell r="H572" t="str">
            <v>%</v>
          </cell>
          <cell r="BG572" t="str">
            <v>Fossil_CC</v>
          </cell>
        </row>
        <row r="573">
          <cell r="F573" t="str">
            <v>Fossil Carbon Content - Oils/Fuels</v>
          </cell>
          <cell r="G573">
            <v>0.80400000000000005</v>
          </cell>
          <cell r="H573" t="str">
            <v>%</v>
          </cell>
          <cell r="BG573" t="str">
            <v>Fossil_CC</v>
          </cell>
        </row>
        <row r="574">
          <cell r="F574" t="str">
            <v>Fossil Carbon Content - Organic Chemicals</v>
          </cell>
          <cell r="G574">
            <v>0.38400000000000001</v>
          </cell>
          <cell r="H574" t="str">
            <v>%</v>
          </cell>
          <cell r="BG574" t="str">
            <v>Fossil_CC</v>
          </cell>
        </row>
        <row r="575">
          <cell r="F575" t="str">
            <v>Fossil Carbon Content - Inorganic Chemicals</v>
          </cell>
          <cell r="G575">
            <v>0.38400000000000001</v>
          </cell>
          <cell r="H575" t="str">
            <v>%</v>
          </cell>
          <cell r="BG575" t="str">
            <v>Fossil_CC</v>
          </cell>
        </row>
        <row r="576">
          <cell r="F576" t="str">
            <v>Fossil Carbon Content - Mixed Chemicals</v>
          </cell>
          <cell r="G576">
            <v>0.38400000000000001</v>
          </cell>
          <cell r="H576" t="str">
            <v>%</v>
          </cell>
          <cell r="BG576" t="str">
            <v>Fossil_CC</v>
          </cell>
        </row>
        <row r="577">
          <cell r="F577" t="str">
            <v>Fossil Carbon Contents - Organic Sludges</v>
          </cell>
          <cell r="G577">
            <v>0</v>
          </cell>
          <cell r="H577" t="str">
            <v>%</v>
          </cell>
          <cell r="BG577" t="str">
            <v>Fossil_CC</v>
          </cell>
        </row>
        <row r="578">
          <cell r="F578" t="str">
            <v>Fossil Carbon Content - Inorganic Sludges</v>
          </cell>
          <cell r="G578">
            <v>0.309</v>
          </cell>
          <cell r="H578" t="str">
            <v>%</v>
          </cell>
          <cell r="BG578" t="str">
            <v>Fossil_CC</v>
          </cell>
        </row>
        <row r="579">
          <cell r="F579" t="str">
            <v>Fossil Carbon Content - Absorbent hygiene</v>
          </cell>
          <cell r="G579">
            <v>3.6999999999999998E-2</v>
          </cell>
          <cell r="H579" t="str">
            <v>%</v>
          </cell>
          <cell r="BG579" t="str">
            <v>Fossil_CC</v>
          </cell>
        </row>
        <row r="580">
          <cell r="F580" t="str">
            <v>Fossil Carbon Content - Silt/soil</v>
          </cell>
          <cell r="G580">
            <v>0</v>
          </cell>
          <cell r="H580" t="str">
            <v>%</v>
          </cell>
          <cell r="BG580" t="str">
            <v>Fossil_CC</v>
          </cell>
        </row>
        <row r="581">
          <cell r="F581" t="str">
            <v>Fossil Carbon Content - Combustion residues</v>
          </cell>
          <cell r="G581">
            <v>7.0000000000000007E-2</v>
          </cell>
          <cell r="H581" t="str">
            <v>%</v>
          </cell>
          <cell r="BG581" t="str">
            <v>Fossil_CC</v>
          </cell>
        </row>
        <row r="582">
          <cell r="F582" t="str">
            <v>Fossil Carbon Content - aggregates/minerals</v>
          </cell>
          <cell r="G582">
            <v>7.0000000000000007E-2</v>
          </cell>
          <cell r="H582" t="str">
            <v>%</v>
          </cell>
          <cell r="BG582" t="str">
            <v>Fossil_CC</v>
          </cell>
        </row>
        <row r="583">
          <cell r="F583" t="str">
            <v>Fossil Carbon Content - other non combustibles</v>
          </cell>
          <cell r="G583">
            <v>3.5000000000000003E-2</v>
          </cell>
          <cell r="H583" t="str">
            <v>%</v>
          </cell>
          <cell r="BG583" t="str">
            <v>Fossil_CC</v>
          </cell>
        </row>
        <row r="584">
          <cell r="F584" t="str">
            <v>UK Household Recycling: Paper &amp; card</v>
          </cell>
          <cell r="G584">
            <v>0.33085400021554051</v>
          </cell>
          <cell r="H584" t="str">
            <v>%</v>
          </cell>
          <cell r="BG584" t="str">
            <v>or</v>
          </cell>
        </row>
        <row r="585">
          <cell r="F585" t="str">
            <v>UK Household Recycling: Glass</v>
          </cell>
          <cell r="G585">
            <v>0.46541398032423437</v>
          </cell>
          <cell r="H585" t="str">
            <v>%</v>
          </cell>
          <cell r="BG585" t="str">
            <v>or</v>
          </cell>
        </row>
        <row r="586">
          <cell r="F586" t="str">
            <v>UK Household Recycling: Compost</v>
          </cell>
          <cell r="G586">
            <v>0.30358791789655803</v>
          </cell>
          <cell r="H586" t="str">
            <v>%</v>
          </cell>
          <cell r="BG586" t="str">
            <v>or</v>
          </cell>
        </row>
        <row r="587">
          <cell r="F587" t="str">
            <v>UK Household Recycling: Scrap metals &amp; white goods</v>
          </cell>
          <cell r="G587">
            <v>0.46659403530552868</v>
          </cell>
          <cell r="H587" t="str">
            <v>%</v>
          </cell>
          <cell r="BG587" t="str">
            <v>or</v>
          </cell>
        </row>
        <row r="588">
          <cell r="F588" t="str">
            <v>UK Household Recycling: Textiles</v>
          </cell>
          <cell r="G588">
            <v>0.1332887772389266</v>
          </cell>
          <cell r="H588" t="str">
            <v>%</v>
          </cell>
          <cell r="BG588" t="str">
            <v>or</v>
          </cell>
        </row>
        <row r="589">
          <cell r="F589" t="str">
            <v>UK Household Recycling: Cans</v>
          </cell>
          <cell r="G589">
            <v>0.10406360168121565</v>
          </cell>
          <cell r="H589" t="str">
            <v>%</v>
          </cell>
          <cell r="BG589" t="str">
            <v>or</v>
          </cell>
        </row>
        <row r="590">
          <cell r="F590" t="str">
            <v>UK Household Recycling: Plastics</v>
          </cell>
          <cell r="G590">
            <v>2.7325164472772619E-2</v>
          </cell>
          <cell r="H590" t="str">
            <v>%</v>
          </cell>
          <cell r="BG590" t="str">
            <v>or</v>
          </cell>
        </row>
        <row r="591">
          <cell r="F591" t="str">
            <v>UK Commercial Recycling Rates - Oils and Solvents</v>
          </cell>
          <cell r="G591">
            <v>0.32799194873826548</v>
          </cell>
          <cell r="H591" t="str">
            <v>%</v>
          </cell>
          <cell r="BG591" t="str">
            <v>or</v>
          </cell>
        </row>
        <row r="592">
          <cell r="F592" t="str">
            <v>UK Commercial Recycling Rates -  Paints &amp; Varnishes</v>
          </cell>
          <cell r="G592">
            <v>0.20447023871059744</v>
          </cell>
          <cell r="H592" t="str">
            <v>%</v>
          </cell>
          <cell r="BG592" t="str">
            <v>or</v>
          </cell>
        </row>
        <row r="593">
          <cell r="F593" t="str">
            <v>UK Commercial Recycling Rates -  Industrial Sludges</v>
          </cell>
          <cell r="G593">
            <v>0.12869317505799377</v>
          </cell>
          <cell r="H593" t="str">
            <v>%</v>
          </cell>
          <cell r="BG593" t="str">
            <v>or</v>
          </cell>
        </row>
        <row r="594">
          <cell r="F594" t="str">
            <v>UK Commercial Recycling Rates - Other Chemical Wastes</v>
          </cell>
          <cell r="G594">
            <v>0.11479788388002315</v>
          </cell>
          <cell r="H594" t="str">
            <v>%</v>
          </cell>
          <cell r="BG594" t="str">
            <v>or</v>
          </cell>
        </row>
        <row r="595">
          <cell r="F595" t="str">
            <v>UK Commercial Recycling Rates - Metallic Wastes</v>
          </cell>
          <cell r="G595">
            <v>0.86655750753661176</v>
          </cell>
          <cell r="H595" t="str">
            <v>%</v>
          </cell>
          <cell r="BG595" t="str">
            <v>or</v>
          </cell>
        </row>
        <row r="596">
          <cell r="F596" t="str">
            <v>UK Commercial Recycling Rates - Paper and Card</v>
          </cell>
          <cell r="G596">
            <v>0.85860534843461866</v>
          </cell>
          <cell r="H596" t="str">
            <v>%</v>
          </cell>
          <cell r="BG596" t="str">
            <v>or</v>
          </cell>
        </row>
        <row r="597">
          <cell r="F597" t="str">
            <v>UK Commercial Recycling Rates - Other non-metallic, non-mineral wastes</v>
          </cell>
          <cell r="G597">
            <v>0.71580638817820941</v>
          </cell>
          <cell r="H597" t="str">
            <v>%</v>
          </cell>
          <cell r="BG597" t="str">
            <v>or</v>
          </cell>
        </row>
        <row r="598">
          <cell r="F598" t="str">
            <v>UK Commercial Recycling Rates - Discarded equipment</v>
          </cell>
          <cell r="G598">
            <v>0.54085039030029891</v>
          </cell>
          <cell r="H598" t="str">
            <v>%</v>
          </cell>
          <cell r="BG598" t="str">
            <v>or</v>
          </cell>
        </row>
        <row r="599">
          <cell r="F599" t="str">
            <v>UK Commercial Recycling Rates - Food</v>
          </cell>
          <cell r="G599">
            <v>0.24084971252737566</v>
          </cell>
          <cell r="H599" t="str">
            <v>%</v>
          </cell>
          <cell r="BG599" t="str">
            <v>or</v>
          </cell>
        </row>
        <row r="600">
          <cell r="F600" t="str">
            <v>UK Commercial Recycling Rates -  Other animal by-products</v>
          </cell>
          <cell r="G600">
            <v>9.8530217801789971E-2</v>
          </cell>
          <cell r="H600" t="str">
            <v>%</v>
          </cell>
          <cell r="BG600" t="str">
            <v>or</v>
          </cell>
        </row>
        <row r="601">
          <cell r="F601" t="str">
            <v>UK Commercial Recycling Rates - other mixed general waste</v>
          </cell>
          <cell r="G601">
            <v>4.0177219428447077E-2</v>
          </cell>
          <cell r="H601" t="str">
            <v>%</v>
          </cell>
          <cell r="BG601" t="str">
            <v>or</v>
          </cell>
        </row>
        <row r="602">
          <cell r="F602" t="str">
            <v>UK Commercial Recycling Rates - common sludges</v>
          </cell>
          <cell r="G602">
            <v>9.3908410203766765E-2</v>
          </cell>
          <cell r="H602" t="str">
            <v>%</v>
          </cell>
          <cell r="BG602" t="str">
            <v>or</v>
          </cell>
        </row>
        <row r="603">
          <cell r="F603" t="str">
            <v>UK Commercial Recycling Rates -  combustion wastes</v>
          </cell>
          <cell r="G603">
            <v>0.266349803458092</v>
          </cell>
          <cell r="H603" t="str">
            <v>%</v>
          </cell>
          <cell r="BG603" t="str">
            <v>or</v>
          </cell>
        </row>
        <row r="604">
          <cell r="F604" t="str">
            <v>UK Commercial Recycling Rates - C&amp;D</v>
          </cell>
          <cell r="G604">
            <v>0.18431947924313302</v>
          </cell>
          <cell r="H604" t="str">
            <v>%</v>
          </cell>
          <cell r="BG604" t="str">
            <v>or</v>
          </cell>
        </row>
        <row r="605">
          <cell r="F605" t="str">
            <v>UK Commercial Recycling Rates - Other mineral wastes</v>
          </cell>
          <cell r="G605">
            <v>0.10703555552523682</v>
          </cell>
          <cell r="H605" t="str">
            <v>%</v>
          </cell>
          <cell r="BG605" t="str">
            <v>or</v>
          </cell>
        </row>
        <row r="606">
          <cell r="F606" t="str">
            <v>French Combined Recycling Rates - Plastic</v>
          </cell>
          <cell r="G606">
            <v>0.19</v>
          </cell>
          <cell r="H606" t="str">
            <v>%</v>
          </cell>
          <cell r="BG606" t="str">
            <v>or</v>
          </cell>
        </row>
        <row r="607">
          <cell r="F607" t="str">
            <v>French Combined Recycling Rates - Wood</v>
          </cell>
          <cell r="G607">
            <v>0.20100000000000001</v>
          </cell>
          <cell r="H607" t="str">
            <v>%</v>
          </cell>
          <cell r="BG607" t="str">
            <v>or</v>
          </cell>
        </row>
        <row r="608">
          <cell r="F608" t="str">
            <v>French Combined Recycling Rates - Metals</v>
          </cell>
          <cell r="G608">
            <v>0.65200000000000002</v>
          </cell>
          <cell r="H608" t="str">
            <v>%</v>
          </cell>
          <cell r="BG608" t="str">
            <v>or</v>
          </cell>
        </row>
        <row r="609">
          <cell r="F609" t="str">
            <v>French Combined Recycling Rates - Glass</v>
          </cell>
          <cell r="G609">
            <v>0.59499999999999997</v>
          </cell>
          <cell r="H609" t="str">
            <v>%</v>
          </cell>
          <cell r="BG609" t="str">
            <v>or</v>
          </cell>
        </row>
        <row r="610">
          <cell r="F610" t="str">
            <v>French Combined Recycling Rates - paper and card</v>
          </cell>
          <cell r="G610">
            <v>0.84599999999999997</v>
          </cell>
          <cell r="H610" t="str">
            <v>%</v>
          </cell>
          <cell r="BG610" t="str">
            <v>or</v>
          </cell>
        </row>
        <row r="611">
          <cell r="F611" t="str">
            <v>German Combined Recycling Rates - Glass</v>
          </cell>
          <cell r="G611">
            <v>0.83599999999999997</v>
          </cell>
          <cell r="H611" t="str">
            <v>%</v>
          </cell>
          <cell r="BG611" t="str">
            <v>or</v>
          </cell>
        </row>
        <row r="612">
          <cell r="F612" t="str">
            <v>German Combined Recycling Rates - Tinplate</v>
          </cell>
          <cell r="G612">
            <v>0.90700000000000003</v>
          </cell>
          <cell r="H612" t="str">
            <v>%</v>
          </cell>
          <cell r="BG612" t="str">
            <v>or</v>
          </cell>
        </row>
        <row r="613">
          <cell r="F613" t="str">
            <v>German Combined Recycling Rates - Aluminium</v>
          </cell>
          <cell r="G613">
            <v>0.77800000000000002</v>
          </cell>
          <cell r="H613" t="str">
            <v>%</v>
          </cell>
          <cell r="BG613" t="str">
            <v>or</v>
          </cell>
        </row>
        <row r="614">
          <cell r="F614" t="str">
            <v>German Combined Recycling Rates - Plastics</v>
          </cell>
          <cell r="G614">
            <v>0.503</v>
          </cell>
          <cell r="H614" t="str">
            <v>%</v>
          </cell>
          <cell r="BG614" t="str">
            <v>or</v>
          </cell>
        </row>
        <row r="615">
          <cell r="F615" t="str">
            <v>German Combined Recycling Rates - Paper</v>
          </cell>
          <cell r="G615">
            <v>0.82099999999999995</v>
          </cell>
          <cell r="H615" t="str">
            <v>%</v>
          </cell>
          <cell r="BG615" t="str">
            <v>or</v>
          </cell>
        </row>
        <row r="616">
          <cell r="F616" t="str">
            <v>German Combined Recycling Rates - Beverage Cartons</v>
          </cell>
          <cell r="G616">
            <v>0.624</v>
          </cell>
          <cell r="H616" t="str">
            <v>%</v>
          </cell>
          <cell r="BG616" t="str">
            <v>or</v>
          </cell>
        </row>
        <row r="617">
          <cell r="F617" t="str">
            <v>Finnish Combined Recycling Rates - Fibre</v>
          </cell>
          <cell r="G617">
            <v>0.86</v>
          </cell>
          <cell r="H617" t="str">
            <v>%</v>
          </cell>
          <cell r="BG617" t="str">
            <v>or</v>
          </cell>
        </row>
        <row r="618">
          <cell r="F618" t="str">
            <v>Finnish Combined Recycling Rates - Glass</v>
          </cell>
          <cell r="G618">
            <v>0.74</v>
          </cell>
          <cell r="H618" t="str">
            <v>%</v>
          </cell>
          <cell r="BG618" t="str">
            <v>or</v>
          </cell>
        </row>
        <row r="619">
          <cell r="F619" t="str">
            <v>Finnish Combined Recycling Rates - Metal</v>
          </cell>
          <cell r="G619">
            <v>0.59</v>
          </cell>
          <cell r="H619" t="str">
            <v>%</v>
          </cell>
          <cell r="BG619" t="str">
            <v>or</v>
          </cell>
        </row>
        <row r="620">
          <cell r="F620" t="str">
            <v>Finnish Combined Recycling Rates - Plastic</v>
          </cell>
          <cell r="G620">
            <v>0.16</v>
          </cell>
          <cell r="H620" t="str">
            <v>%</v>
          </cell>
          <cell r="BG620" t="str">
            <v>or</v>
          </cell>
        </row>
        <row r="621">
          <cell r="F621" t="str">
            <v>Finnish Combined Recycling Rates - Wood</v>
          </cell>
          <cell r="G621">
            <v>0.08</v>
          </cell>
          <cell r="H621" t="str">
            <v>%</v>
          </cell>
          <cell r="BG621" t="str">
            <v>or</v>
          </cell>
        </row>
        <row r="622">
          <cell r="F622" t="str">
            <v>EU 15 Combined Recycling Rates - Glass</v>
          </cell>
          <cell r="G622">
            <v>0.57999999999999996</v>
          </cell>
          <cell r="H622" t="str">
            <v>%</v>
          </cell>
          <cell r="BG622" t="str">
            <v>or</v>
          </cell>
        </row>
        <row r="623">
          <cell r="F623" t="str">
            <v>EU 15 Combined Recycling Rates - Paper and Board</v>
          </cell>
          <cell r="G623">
            <v>0.68</v>
          </cell>
          <cell r="H623" t="str">
            <v>%</v>
          </cell>
          <cell r="BG623" t="str">
            <v>or</v>
          </cell>
        </row>
        <row r="624">
          <cell r="F624" t="str">
            <v>EU 15 Combined Recycling Rates - Plastic</v>
          </cell>
          <cell r="G624">
            <v>0.24</v>
          </cell>
          <cell r="H624" t="str">
            <v>%</v>
          </cell>
          <cell r="BG624" t="str">
            <v>or</v>
          </cell>
        </row>
        <row r="625">
          <cell r="F625" t="str">
            <v>EU 15 Combined Recycling Rates - Metal</v>
          </cell>
          <cell r="G625">
            <v>0.56999999999999995</v>
          </cell>
          <cell r="H625" t="str">
            <v>%</v>
          </cell>
          <cell r="BG625" t="str">
            <v>or</v>
          </cell>
        </row>
        <row r="626">
          <cell r="F626" t="str">
            <v>US Combined Recycling Rates - Newsprint</v>
          </cell>
          <cell r="G626">
            <v>0.78599999999999992</v>
          </cell>
          <cell r="H626" t="str">
            <v>%</v>
          </cell>
          <cell r="BG626" t="str">
            <v>or</v>
          </cell>
        </row>
        <row r="627">
          <cell r="F627" t="str">
            <v>US Combined Recycling Rates - Books</v>
          </cell>
          <cell r="G627">
            <v>0.26100000000000001</v>
          </cell>
          <cell r="H627" t="str">
            <v>%</v>
          </cell>
          <cell r="BG627" t="str">
            <v>or</v>
          </cell>
        </row>
        <row r="628">
          <cell r="F628" t="str">
            <v>US Combined Recycling Rates - Magazines</v>
          </cell>
          <cell r="G628">
            <v>0.39600000000000002</v>
          </cell>
          <cell r="H628" t="str">
            <v>%</v>
          </cell>
          <cell r="BG628" t="str">
            <v>or</v>
          </cell>
        </row>
        <row r="629">
          <cell r="F629" t="str">
            <v>US Combined Recycling Rates - Office paper</v>
          </cell>
          <cell r="G629">
            <v>0.71799999999999997</v>
          </cell>
          <cell r="H629" t="str">
            <v>%</v>
          </cell>
          <cell r="BG629" t="str">
            <v>or</v>
          </cell>
        </row>
        <row r="630">
          <cell r="F630" t="str">
            <v>US Combined Recycling Rates - Telephone directories</v>
          </cell>
          <cell r="G630">
            <v>0.2</v>
          </cell>
          <cell r="H630" t="str">
            <v>%</v>
          </cell>
          <cell r="BG630" t="str">
            <v>or</v>
          </cell>
        </row>
        <row r="631">
          <cell r="F631" t="str">
            <v>US Combined Recycling Rates - Standard Mail</v>
          </cell>
          <cell r="G631">
            <v>0.40299999999999997</v>
          </cell>
          <cell r="H631" t="str">
            <v>%</v>
          </cell>
          <cell r="BG631" t="str">
            <v>or</v>
          </cell>
        </row>
        <row r="632">
          <cell r="F632" t="str">
            <v>US Combined Recycling Rates - Commercial printing</v>
          </cell>
          <cell r="G632">
            <v>0.57299999999999995</v>
          </cell>
          <cell r="H632" t="str">
            <v>%</v>
          </cell>
          <cell r="BG632" t="str">
            <v>or</v>
          </cell>
        </row>
        <row r="633">
          <cell r="F633" t="str">
            <v>US Combined Recycling Rates - Tissue paper and towels</v>
          </cell>
          <cell r="G633" t="str">
            <v>&lt;0.05</v>
          </cell>
          <cell r="H633" t="str">
            <v>%</v>
          </cell>
          <cell r="BG633" t="str">
            <v>or</v>
          </cell>
        </row>
        <row r="634">
          <cell r="F634" t="str">
            <v>US Combined Recycling Rates - Paper plates and cups</v>
          </cell>
          <cell r="G634" t="str">
            <v>&lt;0.05</v>
          </cell>
          <cell r="H634" t="str">
            <v>%</v>
          </cell>
          <cell r="BG634" t="str">
            <v>or</v>
          </cell>
        </row>
        <row r="635">
          <cell r="F635" t="str">
            <v>US Combined Recycling Rates - Non packaging paper</v>
          </cell>
          <cell r="G635" t="str">
            <v>&lt;0.05</v>
          </cell>
          <cell r="H635" t="str">
            <v>%</v>
          </cell>
          <cell r="BG635" t="str">
            <v>or</v>
          </cell>
        </row>
        <row r="636">
          <cell r="F636" t="str">
            <v>US Combined Recycling Rates - Corrugated boxes</v>
          </cell>
          <cell r="G636">
            <v>0.73599999999999999</v>
          </cell>
          <cell r="H636" t="str">
            <v>%</v>
          </cell>
          <cell r="BG636" t="str">
            <v>or</v>
          </cell>
        </row>
        <row r="637">
          <cell r="F637" t="str">
            <v>US Combined Recycling Rates - milk cartons</v>
          </cell>
          <cell r="G637" t="str">
            <v>&lt;0.05</v>
          </cell>
          <cell r="H637" t="str">
            <v>%</v>
          </cell>
          <cell r="BG637" t="str">
            <v>or</v>
          </cell>
        </row>
        <row r="638">
          <cell r="F638" t="str">
            <v>US Combined Recycling Rates - Folding cartons</v>
          </cell>
          <cell r="G638">
            <v>0.27300000000000002</v>
          </cell>
          <cell r="H638" t="str">
            <v>%</v>
          </cell>
          <cell r="BG638" t="str">
            <v>or</v>
          </cell>
        </row>
        <row r="639">
          <cell r="F639" t="str">
            <v>US Combined Recycling Rates - Other paperboard packaging</v>
          </cell>
          <cell r="G639" t="str">
            <v>&lt;0.05</v>
          </cell>
          <cell r="H639" t="str">
            <v>%</v>
          </cell>
          <cell r="BG639" t="str">
            <v>or</v>
          </cell>
        </row>
        <row r="640">
          <cell r="F640" t="str">
            <v>US Combined Recycling Rates - Paper bags and sacks</v>
          </cell>
          <cell r="G640">
            <v>0.36799999999999999</v>
          </cell>
          <cell r="H640" t="str">
            <v>%</v>
          </cell>
          <cell r="BG640" t="str">
            <v>or</v>
          </cell>
        </row>
        <row r="641">
          <cell r="F641" t="str">
            <v>US Combined Recycling Rates - Other paper packaging</v>
          </cell>
          <cell r="G641" t="str">
            <v>&lt;0.05</v>
          </cell>
          <cell r="H641" t="str">
            <v>%</v>
          </cell>
          <cell r="BG641" t="str">
            <v>or</v>
          </cell>
        </row>
        <row r="642">
          <cell r="F642" t="str">
            <v>US Combined Recycling Rates - Glass general</v>
          </cell>
          <cell r="G642">
            <v>0.23699999999999999</v>
          </cell>
          <cell r="H642" t="str">
            <v>%</v>
          </cell>
          <cell r="BG642" t="str">
            <v>or</v>
          </cell>
        </row>
        <row r="643">
          <cell r="F643" t="str">
            <v>US Combined Recycling Rates - Beer and soft drinks bottles</v>
          </cell>
          <cell r="G643">
            <v>0.34499999999999997</v>
          </cell>
          <cell r="H643" t="str">
            <v>%</v>
          </cell>
          <cell r="BG643" t="str">
            <v>or</v>
          </cell>
        </row>
        <row r="644">
          <cell r="F644" t="str">
            <v>US Combined Recycling Rates - wine and liquor bottles</v>
          </cell>
          <cell r="G644">
            <v>0.15</v>
          </cell>
          <cell r="H644" t="str">
            <v>%</v>
          </cell>
          <cell r="BG644" t="str">
            <v>or</v>
          </cell>
        </row>
        <row r="645">
          <cell r="F645" t="str">
            <v>US Combined Recycling Rates - Food and other bottles and jars</v>
          </cell>
          <cell r="G645">
            <v>0.14800000000000002</v>
          </cell>
          <cell r="H645" t="str">
            <v>%</v>
          </cell>
          <cell r="BG645" t="str">
            <v>or</v>
          </cell>
        </row>
        <row r="646">
          <cell r="F646" t="str">
            <v>US Combined Recycling Rates - metal general</v>
          </cell>
          <cell r="G646">
            <v>0.34799999999999998</v>
          </cell>
          <cell r="H646" t="str">
            <v>%</v>
          </cell>
          <cell r="BG646" t="str">
            <v>or</v>
          </cell>
        </row>
        <row r="647">
          <cell r="F647" t="str">
            <v>US Combined Recycling Rates - Ferrous</v>
          </cell>
          <cell r="G647">
            <v>0.33799999999999997</v>
          </cell>
          <cell r="H647" t="str">
            <v>%</v>
          </cell>
          <cell r="BG647" t="str">
            <v>or</v>
          </cell>
        </row>
        <row r="648">
          <cell r="F648" t="str">
            <v>US Combined Recycling Rates - Aluminium</v>
          </cell>
          <cell r="G648">
            <v>0.218</v>
          </cell>
          <cell r="H648" t="str">
            <v>%</v>
          </cell>
          <cell r="BG648" t="str">
            <v>or</v>
          </cell>
        </row>
        <row r="649">
          <cell r="F649" t="str">
            <v>US Combined Recycling Rates - Other Nonferrous</v>
          </cell>
          <cell r="G649">
            <v>0.69299999999999995</v>
          </cell>
          <cell r="H649" t="str">
            <v>%</v>
          </cell>
          <cell r="BG649" t="str">
            <v>or</v>
          </cell>
        </row>
        <row r="650">
          <cell r="F650" t="str">
            <v>US Combined Recycling Rates - Steel cans</v>
          </cell>
          <cell r="G650">
            <v>0.64300000000000002</v>
          </cell>
          <cell r="H650" t="str">
            <v>%</v>
          </cell>
          <cell r="BG650" t="str">
            <v>or</v>
          </cell>
        </row>
        <row r="651">
          <cell r="F651" t="str">
            <v>US Combined Recycling Rates - other steel packaging</v>
          </cell>
          <cell r="G651">
            <v>0.66700000000000004</v>
          </cell>
          <cell r="H651" t="str">
            <v>%</v>
          </cell>
          <cell r="BG651" t="str">
            <v>or</v>
          </cell>
        </row>
        <row r="652">
          <cell r="F652" t="str">
            <v>US Combined Recycling Rates - Aluminium beer and drinks cans</v>
          </cell>
          <cell r="G652">
            <v>0.48599999999999999</v>
          </cell>
          <cell r="H652" t="str">
            <v>%</v>
          </cell>
          <cell r="BG652" t="str">
            <v>or</v>
          </cell>
        </row>
        <row r="653">
          <cell r="F653" t="str">
            <v>US Combined Recycling Rates - Aluminium food and other cans</v>
          </cell>
          <cell r="G653" t="str">
            <v>&lt;0.05</v>
          </cell>
          <cell r="H653" t="str">
            <v>%</v>
          </cell>
          <cell r="BG653" t="str">
            <v>or</v>
          </cell>
        </row>
        <row r="654">
          <cell r="F654" t="str">
            <v>US Combined Recycling Rates - Aluminium foil and other packaging</v>
          </cell>
          <cell r="G654">
            <v>9.8000000000000004E-2</v>
          </cell>
          <cell r="H654" t="str">
            <v>%</v>
          </cell>
          <cell r="BG654" t="str">
            <v>or</v>
          </cell>
        </row>
        <row r="655">
          <cell r="F655" t="str">
            <v>US Combined Recycling Rates - metals in containers and packaging</v>
          </cell>
          <cell r="G655">
            <v>0.54100000000000004</v>
          </cell>
          <cell r="H655" t="str">
            <v>%</v>
          </cell>
          <cell r="BG655" t="str">
            <v>or</v>
          </cell>
        </row>
        <row r="656">
          <cell r="F656" t="str">
            <v>US Combined Recycling Rates - metals in durable goods</v>
          </cell>
          <cell r="G656">
            <v>0.29799999999999999</v>
          </cell>
          <cell r="H656" t="str">
            <v>%</v>
          </cell>
          <cell r="BG656" t="str">
            <v>or</v>
          </cell>
        </row>
        <row r="657">
          <cell r="F657" t="str">
            <v>US Combined Recycling Rates - Plastic general</v>
          </cell>
          <cell r="G657">
            <v>6.8000000000000005E-2</v>
          </cell>
          <cell r="H657" t="str">
            <v>%</v>
          </cell>
          <cell r="BG657" t="str">
            <v>or</v>
          </cell>
        </row>
        <row r="658">
          <cell r="F658" t="str">
            <v>US Combined Recycling Rates - Plastic in durable goods</v>
          </cell>
          <cell r="G658">
            <v>4.8000000000000001E-2</v>
          </cell>
          <cell r="H658" t="str">
            <v>%</v>
          </cell>
          <cell r="BG658" t="str">
            <v>or</v>
          </cell>
        </row>
        <row r="659">
          <cell r="F659" t="str">
            <v>US Combined Recycling Rates - Soft drinks bottles (PET)</v>
          </cell>
          <cell r="G659">
            <v>0.36599999999999999</v>
          </cell>
          <cell r="H659" t="str">
            <v>%</v>
          </cell>
          <cell r="BG659" t="str">
            <v>or</v>
          </cell>
        </row>
        <row r="660">
          <cell r="F660" t="str">
            <v>US Combined Recycling Rates - Milk and water bottles (HDPE)</v>
          </cell>
          <cell r="G660">
            <v>0.28000000000000003</v>
          </cell>
          <cell r="H660" t="str">
            <v>%</v>
          </cell>
          <cell r="BG660" t="str">
            <v>or</v>
          </cell>
        </row>
        <row r="661">
          <cell r="F661" t="str">
            <v>US Combined Recycling Rates - Other  plastic containers</v>
          </cell>
          <cell r="G661">
            <v>0.13900000000000001</v>
          </cell>
          <cell r="H661" t="str">
            <v>%</v>
          </cell>
          <cell r="BG661" t="str">
            <v>or</v>
          </cell>
        </row>
        <row r="662">
          <cell r="F662" t="str">
            <v>US Combined Recycling Rates - Plastic bags sacks and wraps</v>
          </cell>
          <cell r="G662">
            <v>9.0999999999999998E-2</v>
          </cell>
          <cell r="H662" t="str">
            <v>%</v>
          </cell>
          <cell r="BG662" t="str">
            <v>or</v>
          </cell>
        </row>
        <row r="663">
          <cell r="F663" t="str">
            <v>US Combined Recycling Rates - Other plastic packaging</v>
          </cell>
          <cell r="G663">
            <v>2.3E-2</v>
          </cell>
          <cell r="H663" t="str">
            <v>%</v>
          </cell>
          <cell r="BG663" t="str">
            <v>or</v>
          </cell>
        </row>
        <row r="664">
          <cell r="F664" t="str">
            <v>US Combined Recycling Rates - Rubber and Leather</v>
          </cell>
          <cell r="G664">
            <v>0.14699999999999999</v>
          </cell>
          <cell r="H664" t="str">
            <v>%</v>
          </cell>
          <cell r="BG664" t="str">
            <v>or</v>
          </cell>
        </row>
        <row r="665">
          <cell r="F665" t="str">
            <v>US Combined Recycling Rates - Rubber in tires</v>
          </cell>
          <cell r="G665">
            <v>0.34799999999999998</v>
          </cell>
          <cell r="H665" t="str">
            <v>%</v>
          </cell>
          <cell r="BG665" t="str">
            <v>or</v>
          </cell>
        </row>
        <row r="666">
          <cell r="F666" t="str">
            <v>US Combined Recycling Rates - Textiles</v>
          </cell>
          <cell r="G666">
            <v>0.159</v>
          </cell>
          <cell r="H666" t="str">
            <v>%</v>
          </cell>
          <cell r="BG666" t="str">
            <v>or</v>
          </cell>
        </row>
        <row r="667">
          <cell r="F667" t="str">
            <v>US Combined Recycling Rates - Wood</v>
          </cell>
          <cell r="G667">
            <v>9.3000000000000013E-2</v>
          </cell>
          <cell r="H667" t="str">
            <v>%</v>
          </cell>
          <cell r="BG667" t="str">
            <v>or</v>
          </cell>
        </row>
        <row r="668">
          <cell r="F668" t="str">
            <v>English MSW incineration rate with energy recovery</v>
          </cell>
          <cell r="G668">
            <v>0.111</v>
          </cell>
          <cell r="H668" t="str">
            <v>%</v>
          </cell>
          <cell r="BG668" t="str">
            <v>or</v>
          </cell>
        </row>
        <row r="669">
          <cell r="F669" t="str">
            <v>English MSW incineration rate without energy recovery</v>
          </cell>
          <cell r="G669">
            <v>2E-3</v>
          </cell>
          <cell r="H669" t="str">
            <v>%</v>
          </cell>
          <cell r="BG669" t="str">
            <v>or</v>
          </cell>
        </row>
        <row r="670">
          <cell r="F670" t="str">
            <v>US Incineration - With energy recovery</v>
          </cell>
          <cell r="G670">
            <v>0.126</v>
          </cell>
          <cell r="H670" t="str">
            <v>%</v>
          </cell>
        </row>
        <row r="671">
          <cell r="F671" t="str">
            <v>Average Incineration Rate: EU 27 countries</v>
          </cell>
          <cell r="G671">
            <v>0.19714170266891681</v>
          </cell>
          <cell r="H671" t="str">
            <v>%</v>
          </cell>
        </row>
        <row r="672">
          <cell r="F672" t="str">
            <v>Average Incineration Rate:  EU 15 countries</v>
          </cell>
          <cell r="G672">
            <v>0.22653407685216156</v>
          </cell>
          <cell r="H672" t="str">
            <v>%</v>
          </cell>
        </row>
        <row r="673">
          <cell r="F673" t="str">
            <v>Average Incineration Rate:  Belgium</v>
          </cell>
          <cell r="G673">
            <v>0.32857375900816604</v>
          </cell>
          <cell r="H673" t="str">
            <v>%</v>
          </cell>
        </row>
        <row r="674">
          <cell r="F674" t="str">
            <v>Average Incineration Rate:  Bulgaria</v>
          </cell>
          <cell r="G674">
            <v>0</v>
          </cell>
          <cell r="H674" t="str">
            <v>%</v>
          </cell>
        </row>
        <row r="675">
          <cell r="F675" t="str">
            <v>Average Incineration Rate:  Czech Republic</v>
          </cell>
          <cell r="G675">
            <v>0.12400901883773367</v>
          </cell>
          <cell r="H675" t="str">
            <v>%</v>
          </cell>
        </row>
        <row r="676">
          <cell r="F676" t="str">
            <v>Average Incineration Rate:  Denmark</v>
          </cell>
          <cell r="G676">
            <v>0.53253895508707605</v>
          </cell>
          <cell r="H676" t="str">
            <v>%</v>
          </cell>
        </row>
        <row r="677">
          <cell r="F677" t="str">
            <v>Average Incineration Rate:  Germany</v>
          </cell>
          <cell r="G677">
            <v>0.34022993455046502</v>
          </cell>
          <cell r="H677" t="str">
            <v>%</v>
          </cell>
        </row>
        <row r="678">
          <cell r="F678" t="str">
            <v>Average Incineration Rate:  Estonia</v>
          </cell>
          <cell r="G678">
            <v>1.4320171900736116E-3</v>
          </cell>
          <cell r="H678" t="str">
            <v>%</v>
          </cell>
        </row>
        <row r="679">
          <cell r="F679" t="str">
            <v>Average Incineration Rate:  Ireland</v>
          </cell>
          <cell r="G679">
            <v>0</v>
          </cell>
          <cell r="H679" t="str">
            <v>%</v>
          </cell>
        </row>
        <row r="680">
          <cell r="F680" t="str">
            <v>Average Incineration Rate:  Greece</v>
          </cell>
          <cell r="G680">
            <v>0</v>
          </cell>
          <cell r="H680" t="str">
            <v>%</v>
          </cell>
        </row>
        <row r="681">
          <cell r="F681" t="str">
            <v>Average Incineration Rate:  Spain</v>
          </cell>
          <cell r="G681">
            <v>9.9081710618894481E-2</v>
          </cell>
          <cell r="H681" t="str">
            <v>%</v>
          </cell>
        </row>
        <row r="682">
          <cell r="F682" t="str">
            <v>Average Incineration Rate:  France</v>
          </cell>
          <cell r="G682">
            <v>0.34970056481139833</v>
          </cell>
          <cell r="H682" t="str">
            <v>%</v>
          </cell>
        </row>
        <row r="683">
          <cell r="F683" t="str">
            <v>Average Incineration Rate:  Italy</v>
          </cell>
          <cell r="G683">
            <v>0.11830320471032391</v>
          </cell>
          <cell r="H683" t="str">
            <v>%</v>
          </cell>
        </row>
        <row r="684">
          <cell r="F684" t="str">
            <v>Average Incineration Rate:  Cyprus</v>
          </cell>
          <cell r="G684">
            <v>0</v>
          </cell>
          <cell r="H684" t="str">
            <v>%</v>
          </cell>
        </row>
        <row r="685">
          <cell r="F685" t="str">
            <v>Average Incineration Rate:  Latvia</v>
          </cell>
          <cell r="G685">
            <v>4.0073409840635605E-3</v>
          </cell>
          <cell r="H685" t="str">
            <v>%</v>
          </cell>
        </row>
        <row r="686">
          <cell r="F686" t="str">
            <v>Average Incineration Rate:  Lithuania</v>
          </cell>
          <cell r="G686">
            <v>1.4775304555965163E-4</v>
          </cell>
          <cell r="H686" t="str">
            <v>%</v>
          </cell>
        </row>
        <row r="687">
          <cell r="F687" t="str">
            <v>Average Incineration Rate:  Luxembourg</v>
          </cell>
          <cell r="G687">
            <v>0.35367440171845227</v>
          </cell>
          <cell r="H687" t="str">
            <v>%</v>
          </cell>
        </row>
        <row r="688">
          <cell r="F688" t="str">
            <v>Average Incineration Rate:  Hungary</v>
          </cell>
          <cell r="G688">
            <v>8.3265483835855025E-2</v>
          </cell>
          <cell r="H688" t="str">
            <v>%</v>
          </cell>
        </row>
        <row r="689">
          <cell r="F689" t="str">
            <v>Average Incineration Rate:  Malta</v>
          </cell>
          <cell r="G689">
            <v>0</v>
          </cell>
          <cell r="H689" t="str">
            <v>%</v>
          </cell>
        </row>
        <row r="690">
          <cell r="F690" t="str">
            <v>Average Incineration Rate:  Netherlands</v>
          </cell>
          <cell r="G690">
            <v>0.31852497096399535</v>
          </cell>
          <cell r="H690" t="str">
            <v>%</v>
          </cell>
        </row>
        <row r="691">
          <cell r="F691" t="str">
            <v>Average Incineration Rate:  Austria</v>
          </cell>
          <cell r="G691">
            <v>0.28222222222222221</v>
          </cell>
          <cell r="H691" t="str">
            <v>%</v>
          </cell>
        </row>
        <row r="692">
          <cell r="F692" t="str">
            <v>Average Incineration Rate:  Poland</v>
          </cell>
          <cell r="G692">
            <v>3.343175315298126E-3</v>
          </cell>
          <cell r="H692" t="str">
            <v>%</v>
          </cell>
        </row>
        <row r="693">
          <cell r="F693" t="str">
            <v>Average Incineration Rate:  Portugal</v>
          </cell>
          <cell r="G693">
            <v>0.19323746754543639</v>
          </cell>
          <cell r="H693" t="str">
            <v>%</v>
          </cell>
        </row>
        <row r="694">
          <cell r="F694" t="str">
            <v>Average Incineration Rate:  Romania</v>
          </cell>
          <cell r="G694">
            <v>0</v>
          </cell>
          <cell r="H694" t="str">
            <v>%</v>
          </cell>
        </row>
        <row r="695">
          <cell r="F695" t="str">
            <v>Average Incineration Rate:  Slovenia</v>
          </cell>
          <cell r="G695">
            <v>5.0813295016344945E-4</v>
          </cell>
          <cell r="H695" t="str">
            <v>%</v>
          </cell>
        </row>
        <row r="696">
          <cell r="F696" t="str">
            <v>Average Incineration Rate:  Slovakia</v>
          </cell>
          <cell r="G696">
            <v>0.10800347586372216</v>
          </cell>
          <cell r="H696" t="str">
            <v>%</v>
          </cell>
        </row>
        <row r="697">
          <cell r="F697" t="str">
            <v>Average Incineration Rate:  Finland</v>
          </cell>
          <cell r="G697">
            <v>0.1160221614104347</v>
          </cell>
          <cell r="H697" t="str">
            <v>%</v>
          </cell>
        </row>
        <row r="698">
          <cell r="F698" t="str">
            <v>Average Incineration Rate:  Sweden</v>
          </cell>
          <cell r="G698">
            <v>0.46448590205639179</v>
          </cell>
          <cell r="H698" t="str">
            <v>%</v>
          </cell>
        </row>
        <row r="699">
          <cell r="F699" t="str">
            <v>Degradability rate  - Newspaper</v>
          </cell>
          <cell r="G699">
            <v>0.35</v>
          </cell>
          <cell r="H699" t="str">
            <v>%</v>
          </cell>
          <cell r="BG699" t="str">
            <v>Deg_Rate</v>
          </cell>
        </row>
        <row r="700">
          <cell r="F700" t="str">
            <v>Degradability rate  -Magazines</v>
          </cell>
          <cell r="G700">
            <v>0.46</v>
          </cell>
          <cell r="H700" t="str">
            <v>%</v>
          </cell>
          <cell r="BG700" t="str">
            <v>Deg_Rate</v>
          </cell>
        </row>
        <row r="701">
          <cell r="F701" t="str">
            <v>Degradability rate  -Other Paper</v>
          </cell>
          <cell r="G701">
            <v>0.98</v>
          </cell>
          <cell r="H701" t="str">
            <v>%</v>
          </cell>
          <cell r="BG701" t="str">
            <v>Deg_Rate</v>
          </cell>
        </row>
        <row r="702">
          <cell r="F702" t="str">
            <v>Degradability rate  -Liquid Cartons</v>
          </cell>
          <cell r="G702">
            <v>0.64</v>
          </cell>
          <cell r="H702" t="str">
            <v>%</v>
          </cell>
          <cell r="BG702" t="str">
            <v>Deg_Rate</v>
          </cell>
        </row>
        <row r="703">
          <cell r="F703" t="str">
            <v>Degradability rate  -Card Packaging</v>
          </cell>
          <cell r="G703">
            <v>0.64</v>
          </cell>
          <cell r="H703" t="str">
            <v>%</v>
          </cell>
          <cell r="BG703" t="str">
            <v>Deg_Rate</v>
          </cell>
        </row>
        <row r="704">
          <cell r="F704" t="str">
            <v>Degradability rate  -Other Card</v>
          </cell>
          <cell r="G704">
            <v>0.64</v>
          </cell>
          <cell r="H704" t="str">
            <v>%</v>
          </cell>
          <cell r="BG704" t="str">
            <v>Deg_Rate</v>
          </cell>
        </row>
        <row r="705">
          <cell r="F705" t="str">
            <v>Degradability rate  -Wood</v>
          </cell>
          <cell r="G705">
            <v>0.75</v>
          </cell>
          <cell r="H705" t="str">
            <v>%</v>
          </cell>
          <cell r="BG705" t="str">
            <v>Deg_Rate</v>
          </cell>
        </row>
        <row r="706">
          <cell r="F706" t="str">
            <v>Degradability rate  -Textiles</v>
          </cell>
          <cell r="G706">
            <v>0.5</v>
          </cell>
          <cell r="H706" t="str">
            <v>%</v>
          </cell>
          <cell r="BG706" t="str">
            <v>Deg_Rate</v>
          </cell>
        </row>
        <row r="707">
          <cell r="F707" t="str">
            <v>Degradability rate  -Disposable Nappies</v>
          </cell>
          <cell r="G707">
            <v>0.5</v>
          </cell>
          <cell r="H707" t="str">
            <v>%</v>
          </cell>
          <cell r="BG707" t="str">
            <v>Deg_Rate</v>
          </cell>
        </row>
        <row r="708">
          <cell r="F708" t="str">
            <v>Degradability rate  -Other misc. combustibles</v>
          </cell>
          <cell r="G708">
            <v>0.5</v>
          </cell>
          <cell r="H708" t="str">
            <v>%</v>
          </cell>
          <cell r="BG708" t="str">
            <v>Deg_Rate</v>
          </cell>
        </row>
        <row r="709">
          <cell r="F709" t="str">
            <v>Degradability rate  -Garden Waste</v>
          </cell>
          <cell r="G709">
            <v>0.62</v>
          </cell>
          <cell r="H709" t="str">
            <v>%</v>
          </cell>
          <cell r="BG709" t="str">
            <v>Deg_Rate</v>
          </cell>
        </row>
        <row r="710">
          <cell r="F710" t="str">
            <v>Degradability rate  -Other Putrescible</v>
          </cell>
          <cell r="G710">
            <v>0.76</v>
          </cell>
          <cell r="H710" t="str">
            <v>%</v>
          </cell>
          <cell r="BG710" t="str">
            <v>Deg_Rate</v>
          </cell>
        </row>
        <row r="711">
          <cell r="F711" t="str">
            <v>Degradability rate  -10mm fines</v>
          </cell>
          <cell r="G711">
            <v>0.5</v>
          </cell>
          <cell r="H711" t="str">
            <v>%</v>
          </cell>
          <cell r="BG711" t="str">
            <v>Deg_Rate</v>
          </cell>
        </row>
        <row r="712">
          <cell r="F712" t="str">
            <v>Degradability rate  -Sewage Sludge</v>
          </cell>
          <cell r="G712">
            <v>0.75</v>
          </cell>
          <cell r="H712" t="str">
            <v>%</v>
          </cell>
          <cell r="BG712" t="str">
            <v>Deg_Rate</v>
          </cell>
        </row>
        <row r="713">
          <cell r="F713" t="str">
            <v>Degradability rate  -Composted Organic Material</v>
          </cell>
          <cell r="G713">
            <v>0.56999999999999995</v>
          </cell>
          <cell r="H713" t="str">
            <v>%</v>
          </cell>
          <cell r="BG713" t="str">
            <v>Deg_Rate</v>
          </cell>
        </row>
        <row r="714">
          <cell r="F714" t="str">
            <v>Degradability rate  -Incinerator Ash</v>
          </cell>
          <cell r="G714">
            <v>0.56999999999999995</v>
          </cell>
          <cell r="H714" t="str">
            <v>%</v>
          </cell>
          <cell r="BG714" t="str">
            <v>Deg_Rate</v>
          </cell>
        </row>
        <row r="715">
          <cell r="F715" t="str">
            <v>Degradability rate  -Non-degradable (e.g. plastics)</v>
          </cell>
          <cell r="G715">
            <v>0</v>
          </cell>
          <cell r="H715" t="str">
            <v>%</v>
          </cell>
          <cell r="BG715" t="str">
            <v>Deg_Rate</v>
          </cell>
        </row>
        <row r="716">
          <cell r="F716" t="str">
            <v>Average domestic food waste UK by food type: Drink</v>
          </cell>
          <cell r="G716">
            <v>0.12</v>
          </cell>
          <cell r="H716" t="str">
            <v>%</v>
          </cell>
        </row>
        <row r="717">
          <cell r="F717" t="str">
            <v>Average domestic food waste UK by food type: Fresh fruit</v>
          </cell>
          <cell r="G717">
            <v>0.4</v>
          </cell>
          <cell r="H717" t="str">
            <v>%</v>
          </cell>
        </row>
        <row r="718">
          <cell r="F718" t="str">
            <v>Average domestic food waste UK by food type: Bakery</v>
          </cell>
          <cell r="G718">
            <v>0.37</v>
          </cell>
          <cell r="H718" t="str">
            <v>%</v>
          </cell>
        </row>
        <row r="719">
          <cell r="F719" t="str">
            <v>Average domestic food waste UK by food type: Staple foods</v>
          </cell>
          <cell r="G719">
            <v>0.16</v>
          </cell>
          <cell r="H719" t="str">
            <v>%</v>
          </cell>
        </row>
        <row r="720">
          <cell r="F720" t="str">
            <v>Average domestic food waste UK by food type: Confectionery and snacks</v>
          </cell>
          <cell r="G720">
            <v>0.06</v>
          </cell>
          <cell r="H720" t="str">
            <v>%</v>
          </cell>
        </row>
        <row r="721">
          <cell r="F721" t="str">
            <v>Average domestic food waste UK by food type: Processed fruit</v>
          </cell>
          <cell r="G721">
            <v>0.16</v>
          </cell>
          <cell r="H721" t="str">
            <v>%</v>
          </cell>
        </row>
        <row r="722">
          <cell r="F722" t="str">
            <v>Average domestic food waste UK by food type: Dairy and eggs</v>
          </cell>
          <cell r="G722">
            <v>0.09</v>
          </cell>
          <cell r="H722" t="str">
            <v>%</v>
          </cell>
        </row>
        <row r="723">
          <cell r="F723" t="str">
            <v>Average domestic food waste UK by food type: Fresh vegetables and salads</v>
          </cell>
          <cell r="G723">
            <v>0.46</v>
          </cell>
          <cell r="H723" t="str">
            <v>%</v>
          </cell>
        </row>
        <row r="724">
          <cell r="F724" t="str">
            <v>Average domestic food waste UK by food type: Meat and fish</v>
          </cell>
          <cell r="G724">
            <v>0.23</v>
          </cell>
          <cell r="H724" t="str">
            <v>%</v>
          </cell>
        </row>
        <row r="725">
          <cell r="F725" t="str">
            <v>Average domestic food waste UK by food type: Processed vegetables and salad</v>
          </cell>
          <cell r="G725">
            <v>0.14000000000000001</v>
          </cell>
          <cell r="H725" t="str">
            <v>%</v>
          </cell>
        </row>
        <row r="726">
          <cell r="F726" t="str">
            <v>Average domestic food waste UK by food type: Cake and desserts</v>
          </cell>
          <cell r="G726">
            <v>0.14000000000000001</v>
          </cell>
          <cell r="H726" t="str">
            <v>%</v>
          </cell>
        </row>
        <row r="727">
          <cell r="F727" t="str">
            <v>Average domestic food waste UK by food type: Condiments, sauces, herbs &amp; spices</v>
          </cell>
          <cell r="G727">
            <v>0.2</v>
          </cell>
          <cell r="H727" t="str">
            <v>%</v>
          </cell>
        </row>
        <row r="728">
          <cell r="F728" t="str">
            <v>Average domestic food waste UK by food type: Oil and fat</v>
          </cell>
          <cell r="G728">
            <v>0.17</v>
          </cell>
          <cell r="H728" t="str">
            <v>%</v>
          </cell>
        </row>
        <row r="729">
          <cell r="F729" t="str">
            <v>Average domestic food waste UK by food type: Meals (home-made and pre-prepared)</v>
          </cell>
          <cell r="G729">
            <v>0.35</v>
          </cell>
          <cell r="H729" t="str">
            <v>%</v>
          </cell>
        </row>
        <row r="730">
          <cell r="F730" t="str">
            <v>Average domestic food waste UK by selected food/drink: Milk</v>
          </cell>
          <cell r="G730">
            <v>7.0000000000000007E-2</v>
          </cell>
          <cell r="H730" t="str">
            <v>%</v>
          </cell>
        </row>
        <row r="731">
          <cell r="F731" t="str">
            <v>Average domestic food waste UK by selected food/drink: Standard bread</v>
          </cell>
          <cell r="G731">
            <v>0.36</v>
          </cell>
          <cell r="H731" t="str">
            <v>%</v>
          </cell>
        </row>
        <row r="732">
          <cell r="F732" t="str">
            <v>Average domestic food waste UK by selected food/drink: Fresh potato</v>
          </cell>
          <cell r="G732">
            <v>0.45</v>
          </cell>
          <cell r="H732" t="str">
            <v>%</v>
          </cell>
        </row>
        <row r="733">
          <cell r="F733" t="str">
            <v>Average domestic food waste UK by selected food/drink: Carbonated soft drink</v>
          </cell>
          <cell r="G733">
            <v>0.09</v>
          </cell>
          <cell r="H733" t="str">
            <v>%</v>
          </cell>
        </row>
        <row r="734">
          <cell r="F734" t="str">
            <v>Average domestic food waste UK by selected food/drink: Alcoholic drinks</v>
          </cell>
          <cell r="G734">
            <v>0.05</v>
          </cell>
          <cell r="H734" t="str">
            <v>%</v>
          </cell>
        </row>
        <row r="735">
          <cell r="F735" t="str">
            <v>Average domestic food waste UK by selected food/drink: Squash</v>
          </cell>
          <cell r="G735">
            <v>0.02</v>
          </cell>
          <cell r="H735" t="str">
            <v>%</v>
          </cell>
        </row>
        <row r="736">
          <cell r="F736" t="str">
            <v>Average domestic food waste UK by selected food/drink: Fruit juice &amp; smoothies</v>
          </cell>
          <cell r="G736">
            <v>0.14000000000000001</v>
          </cell>
          <cell r="H736" t="str">
            <v>%</v>
          </cell>
        </row>
        <row r="737">
          <cell r="F737" t="str">
            <v>Average domestic food waste UK by selected food/drink: Bottled water</v>
          </cell>
          <cell r="G737">
            <v>0.08</v>
          </cell>
          <cell r="H737" t="str">
            <v>%</v>
          </cell>
        </row>
        <row r="738">
          <cell r="F738" t="str">
            <v>Average domestic food waste UK by selected food/drink: Poultry</v>
          </cell>
          <cell r="G738">
            <v>0.38</v>
          </cell>
          <cell r="H738" t="str">
            <v>%</v>
          </cell>
        </row>
        <row r="739">
          <cell r="F739" t="str">
            <v>Average domestic food waste UK by selected food/drink: Fresh banana</v>
          </cell>
          <cell r="G739">
            <v>0.43</v>
          </cell>
          <cell r="H739" t="str">
            <v>%</v>
          </cell>
        </row>
        <row r="740">
          <cell r="F740" t="str">
            <v>Average domestic food waste UK by selected food/drink: Processed potato</v>
          </cell>
          <cell r="G740">
            <v>0.12</v>
          </cell>
          <cell r="H740" t="str">
            <v>%</v>
          </cell>
        </row>
        <row r="741">
          <cell r="F741" t="str">
            <v>Average domestic food waste UK by selected food/drink: Fresh apple</v>
          </cell>
          <cell r="G741">
            <v>0.46</v>
          </cell>
          <cell r="H741" t="str">
            <v>%</v>
          </cell>
        </row>
        <row r="742">
          <cell r="F742" t="str">
            <v>Average domestic food waste UK by selected food/drink: Lettuce and lettuce/leafy salads</v>
          </cell>
          <cell r="G742">
            <v>0.55000000000000004</v>
          </cell>
          <cell r="H742" t="str">
            <v>%</v>
          </cell>
        </row>
        <row r="743">
          <cell r="F743" t="str">
            <v>Clean water supply</v>
          </cell>
          <cell r="G743">
            <v>2.7100000000000003E-4</v>
          </cell>
          <cell r="H743" t="str">
            <v>kg CO2 / kg</v>
          </cell>
        </row>
        <row r="744">
          <cell r="F744" t="str">
            <v>Waste water treatment</v>
          </cell>
          <cell r="G744">
            <v>4.7599999999999997E-4</v>
          </cell>
          <cell r="H744" t="str">
            <v>kg CO2 / kg</v>
          </cell>
        </row>
      </sheetData>
      <sheetData sheetId="3" refreshError="1">
        <row r="41">
          <cell r="D41" t="str">
            <v>Yes</v>
          </cell>
          <cell r="E41">
            <v>1</v>
          </cell>
        </row>
        <row r="42">
          <cell r="D42" t="str">
            <v>No</v>
          </cell>
          <cell r="E42">
            <v>2</v>
          </cell>
        </row>
        <row r="209">
          <cell r="C209" t="str">
            <v>EU</v>
          </cell>
          <cell r="D209" t="str">
            <v>US</v>
          </cell>
        </row>
        <row r="210">
          <cell r="C210">
            <v>0.97</v>
          </cell>
          <cell r="D210">
            <v>0.97</v>
          </cell>
        </row>
        <row r="211">
          <cell r="C211">
            <v>0.56000000000000005</v>
          </cell>
          <cell r="D211">
            <v>0.5</v>
          </cell>
        </row>
        <row r="212">
          <cell r="C212">
            <v>0.53</v>
          </cell>
          <cell r="D212">
            <v>0.45</v>
          </cell>
        </row>
        <row r="213">
          <cell r="C213">
            <v>0.66</v>
          </cell>
          <cell r="D213">
            <v>0.53</v>
          </cell>
        </row>
      </sheetData>
      <sheetData sheetId="4" refreshError="1">
        <row r="118">
          <cell r="F118" t="str">
            <v>Fleet Fuel Consumption Known</v>
          </cell>
        </row>
        <row r="124">
          <cell r="F124" t="str">
            <v>Palletised</v>
          </cell>
        </row>
        <row r="128">
          <cell r="E128" t="str">
            <v>Standard Euro Pallet (1x1.2x1)</v>
          </cell>
          <cell r="F128">
            <v>1.2</v>
          </cell>
        </row>
        <row r="129">
          <cell r="E129" t="str">
            <v>EUR Pallet (0.8x1.2x1)</v>
          </cell>
          <cell r="F129">
            <v>0.96</v>
          </cell>
        </row>
        <row r="130">
          <cell r="E130" t="str">
            <v>Asia Pallet (1.1x1.1x1)</v>
          </cell>
          <cell r="F130">
            <v>1.2100000000000002</v>
          </cell>
        </row>
        <row r="131">
          <cell r="E131" t="str">
            <v>Australia Pallet (1.14x1.14x1)</v>
          </cell>
          <cell r="F131">
            <v>1.2995999999999999</v>
          </cell>
        </row>
        <row r="135">
          <cell r="E135" t="str">
            <v>Chilled</v>
          </cell>
          <cell r="F135">
            <v>0.14000000000000001</v>
          </cell>
        </row>
        <row r="136">
          <cell r="E136" t="str">
            <v>Ambient</v>
          </cell>
          <cell r="F136">
            <v>0</v>
          </cell>
        </row>
      </sheetData>
      <sheetData sheetId="5" refreshError="1">
        <row r="283">
          <cell r="D283" t="str">
            <v>Metal</v>
          </cell>
          <cell r="E283">
            <v>0.34</v>
          </cell>
          <cell r="F283">
            <v>0.34</v>
          </cell>
        </row>
        <row r="284">
          <cell r="D284" t="str">
            <v>Glass</v>
          </cell>
          <cell r="E284">
            <v>0.71166666666666656</v>
          </cell>
          <cell r="F284">
            <v>0.71166666666666656</v>
          </cell>
        </row>
        <row r="285">
          <cell r="D285" t="str">
            <v>Fabric</v>
          </cell>
          <cell r="E285">
            <v>1.53</v>
          </cell>
          <cell r="F285">
            <v>1.53</v>
          </cell>
        </row>
        <row r="286">
          <cell r="D286" t="str">
            <v>Rubber</v>
          </cell>
          <cell r="E286">
            <v>2.6150000000000002</v>
          </cell>
          <cell r="F286">
            <v>2.6150000000000002</v>
          </cell>
        </row>
        <row r="287">
          <cell r="D287" t="str">
            <v>Plastic (solid)</v>
          </cell>
          <cell r="E287">
            <v>1.67</v>
          </cell>
          <cell r="F287">
            <v>1.67</v>
          </cell>
        </row>
        <row r="288">
          <cell r="D288" t="str">
            <v>Plastic (foam)</v>
          </cell>
          <cell r="E288">
            <v>1.3</v>
          </cell>
          <cell r="F288">
            <v>1.3</v>
          </cell>
        </row>
        <row r="289">
          <cell r="D289" t="str">
            <v>Metal</v>
          </cell>
          <cell r="E289">
            <v>0.34</v>
          </cell>
          <cell r="F289">
            <v>0.34</v>
          </cell>
        </row>
        <row r="290">
          <cell r="D290" t="str">
            <v>Ceramic</v>
          </cell>
          <cell r="E290">
            <v>1.07</v>
          </cell>
          <cell r="F290">
            <v>1.07</v>
          </cell>
        </row>
        <row r="291">
          <cell r="D291" t="str">
            <v>Wood</v>
          </cell>
          <cell r="E291">
            <v>2.4666666666666668</v>
          </cell>
          <cell r="F291">
            <v>2.4666666666666668</v>
          </cell>
        </row>
        <row r="292">
          <cell r="D292" t="str">
            <v>Paper</v>
          </cell>
          <cell r="E292">
            <v>1.4</v>
          </cell>
          <cell r="F292">
            <v>1.4</v>
          </cell>
        </row>
        <row r="296">
          <cell r="D296" t="str">
            <v>Liquid</v>
          </cell>
          <cell r="E296">
            <v>3.83</v>
          </cell>
          <cell r="F296">
            <v>1.8345</v>
          </cell>
        </row>
        <row r="297">
          <cell r="D297" t="str">
            <v>Fruit</v>
          </cell>
          <cell r="E297">
            <v>3.4348387096774187</v>
          </cell>
          <cell r="F297">
            <v>1.6882258064516125</v>
          </cell>
        </row>
        <row r="298">
          <cell r="D298" t="str">
            <v>Water</v>
          </cell>
          <cell r="E298">
            <v>4.1900000000000004</v>
          </cell>
          <cell r="F298">
            <v>2.11</v>
          </cell>
        </row>
        <row r="299">
          <cell r="D299" t="str">
            <v>Dairy</v>
          </cell>
          <cell r="E299">
            <v>3.016</v>
          </cell>
          <cell r="F299">
            <v>1.6379999999999999</v>
          </cell>
        </row>
        <row r="300">
          <cell r="D300" t="str">
            <v>Meat</v>
          </cell>
          <cell r="E300">
            <v>2.9021818181818184</v>
          </cell>
          <cell r="F300">
            <v>1.532909090909091</v>
          </cell>
        </row>
        <row r="301">
          <cell r="D301" t="str">
            <v>Fish</v>
          </cell>
          <cell r="E301">
            <v>3.3489285714285724</v>
          </cell>
          <cell r="F301">
            <v>1.6675</v>
          </cell>
        </row>
        <row r="302">
          <cell r="D302" t="str">
            <v>Vegetable</v>
          </cell>
          <cell r="E302">
            <v>3.4376315789473697</v>
          </cell>
          <cell r="F302">
            <v>1.704736842105264</v>
          </cell>
        </row>
      </sheetData>
      <sheetData sheetId="6" refreshError="1">
        <row r="44">
          <cell r="B44" t="str">
            <v>Rail (diesel)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 Travel"/>
      <sheetName val="Summary"/>
      <sheetName val="Electricity"/>
      <sheetName val="On-Site Combustion"/>
      <sheetName val="Train Travel"/>
      <sheetName val="Taxis &amp; Hire Cars"/>
      <sheetName val="Other Vehicles"/>
      <sheetName val="Refrigerants"/>
      <sheetName val="Carbon Credits"/>
      <sheetName val="Notes"/>
      <sheetName val="Emissions Factors"/>
      <sheetName val="Data Collection"/>
    </sheetNames>
    <sheetDataSet>
      <sheetData sheetId="0" refreshError="1">
        <row r="47">
          <cell r="C47" t="str">
            <v>Distance</v>
          </cell>
        </row>
        <row r="48">
          <cell r="C48" t="str">
            <v>Flights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Home"/>
      <sheetName val="Introduction"/>
      <sheetName val="Emissions based on fuel use"/>
      <sheetName val="Emissions based on distance"/>
      <sheetName val="FAQ"/>
      <sheetName val="Macros"/>
      <sheetName val="Version History"/>
      <sheetName val="co2-mobile.xls"/>
    </sheetNames>
    <sheetDataSet>
      <sheetData sheetId="0" refreshError="1">
        <row r="196">
          <cell r="E196">
            <v>4</v>
          </cell>
          <cell r="F196">
            <v>2.2541567500000004</v>
          </cell>
          <cell r="G196">
            <v>2254.1567500000006</v>
          </cell>
          <cell r="H196">
            <v>1.6093</v>
          </cell>
          <cell r="I196">
            <v>1400.7063630149758</v>
          </cell>
          <cell r="J196">
            <v>1614.481954110483</v>
          </cell>
        </row>
        <row r="197">
          <cell r="E197">
            <v>5</v>
          </cell>
          <cell r="F197">
            <v>1.8033254000000003</v>
          </cell>
          <cell r="G197">
            <v>1803.3254000000004</v>
          </cell>
          <cell r="H197">
            <v>1.6093</v>
          </cell>
          <cell r="I197">
            <v>1120.5650904119807</v>
          </cell>
          <cell r="J197">
            <v>1291.5855632883865</v>
          </cell>
        </row>
        <row r="198">
          <cell r="E198">
            <v>6</v>
          </cell>
          <cell r="F198">
            <v>1.502771166666667</v>
          </cell>
          <cell r="G198">
            <v>1502.7711666666669</v>
          </cell>
          <cell r="H198">
            <v>1.6093</v>
          </cell>
          <cell r="I198">
            <v>933.8042420099838</v>
          </cell>
          <cell r="J198">
            <v>1076.3213027403222</v>
          </cell>
        </row>
        <row r="199">
          <cell r="E199">
            <v>7</v>
          </cell>
          <cell r="F199">
            <v>1.2880895714285716</v>
          </cell>
          <cell r="G199">
            <v>1288.0895714285716</v>
          </cell>
          <cell r="H199">
            <v>1.6093</v>
          </cell>
          <cell r="I199">
            <v>800.40363600855756</v>
          </cell>
          <cell r="J199">
            <v>922.5611166345617</v>
          </cell>
        </row>
        <row r="200">
          <cell r="E200">
            <v>8</v>
          </cell>
          <cell r="F200">
            <v>1.1270783750000002</v>
          </cell>
          <cell r="G200">
            <v>1127.0783750000003</v>
          </cell>
          <cell r="H200">
            <v>1.6093</v>
          </cell>
          <cell r="I200">
            <v>700.35318150748788</v>
          </cell>
          <cell r="J200">
            <v>807.2409770552415</v>
          </cell>
        </row>
        <row r="201">
          <cell r="E201">
            <v>9</v>
          </cell>
          <cell r="F201">
            <v>1.0018474444444445</v>
          </cell>
          <cell r="G201">
            <v>1001.8474444444445</v>
          </cell>
          <cell r="H201">
            <v>1.6093</v>
          </cell>
          <cell r="I201">
            <v>622.53616133998912</v>
          </cell>
          <cell r="J201">
            <v>717.54753516021458</v>
          </cell>
        </row>
        <row r="202">
          <cell r="E202">
            <v>10</v>
          </cell>
          <cell r="F202">
            <v>0.90166270000000015</v>
          </cell>
          <cell r="G202">
            <v>901.6627000000002</v>
          </cell>
          <cell r="H202">
            <v>1.6093</v>
          </cell>
          <cell r="I202">
            <v>560.28254520599035</v>
          </cell>
          <cell r="J202">
            <v>645.79278164419327</v>
          </cell>
        </row>
        <row r="203">
          <cell r="E203">
            <v>11</v>
          </cell>
          <cell r="F203">
            <v>0.8196933636363638</v>
          </cell>
          <cell r="G203">
            <v>819.69336363636376</v>
          </cell>
          <cell r="H203">
            <v>1.6093</v>
          </cell>
          <cell r="I203">
            <v>509.34776836908208</v>
          </cell>
          <cell r="J203">
            <v>587.08434694926655</v>
          </cell>
        </row>
        <row r="204">
          <cell r="E204">
            <v>12</v>
          </cell>
          <cell r="F204">
            <v>0.7513855833333335</v>
          </cell>
          <cell r="G204">
            <v>751.38558333333344</v>
          </cell>
          <cell r="H204">
            <v>1.6093</v>
          </cell>
          <cell r="I204">
            <v>466.9021210049919</v>
          </cell>
          <cell r="J204">
            <v>538.16065137016108</v>
          </cell>
        </row>
        <row r="205">
          <cell r="E205">
            <v>13</v>
          </cell>
          <cell r="F205">
            <v>0.69358669230769243</v>
          </cell>
          <cell r="G205">
            <v>693.58669230769249</v>
          </cell>
          <cell r="H205">
            <v>1.6093</v>
          </cell>
          <cell r="I205">
            <v>430.98657323537719</v>
          </cell>
          <cell r="J205">
            <v>496.76367818784092</v>
          </cell>
        </row>
        <row r="206">
          <cell r="E206">
            <v>14</v>
          </cell>
          <cell r="F206">
            <v>0.64404478571428581</v>
          </cell>
          <cell r="G206">
            <v>644.04478571428581</v>
          </cell>
          <cell r="H206">
            <v>1.6093</v>
          </cell>
          <cell r="I206">
            <v>400.20181800427878</v>
          </cell>
          <cell r="J206">
            <v>461.28055831728085</v>
          </cell>
        </row>
        <row r="207">
          <cell r="E207">
            <v>15</v>
          </cell>
          <cell r="F207">
            <v>0.60110846666666673</v>
          </cell>
          <cell r="G207">
            <v>601.10846666666669</v>
          </cell>
          <cell r="H207">
            <v>1.6093</v>
          </cell>
          <cell r="I207">
            <v>373.52169680399345</v>
          </cell>
          <cell r="J207">
            <v>430.52852109612871</v>
          </cell>
        </row>
        <row r="208">
          <cell r="E208">
            <v>16</v>
          </cell>
          <cell r="F208">
            <v>0.56353918750000009</v>
          </cell>
          <cell r="G208">
            <v>563.53918750000014</v>
          </cell>
          <cell r="H208">
            <v>1.6093</v>
          </cell>
          <cell r="I208">
            <v>350.17659075374394</v>
          </cell>
          <cell r="J208">
            <v>403.62048852762075</v>
          </cell>
        </row>
        <row r="209">
          <cell r="E209">
            <v>17</v>
          </cell>
          <cell r="F209">
            <v>0.53038982352941189</v>
          </cell>
          <cell r="G209">
            <v>530.38982352941184</v>
          </cell>
          <cell r="H209">
            <v>1.6093</v>
          </cell>
          <cell r="I209">
            <v>329.5779677682296</v>
          </cell>
          <cell r="J209">
            <v>379.87810684952541</v>
          </cell>
        </row>
        <row r="210">
          <cell r="E210">
            <v>18</v>
          </cell>
          <cell r="F210">
            <v>0.50092372222222226</v>
          </cell>
          <cell r="G210">
            <v>500.92372222222224</v>
          </cell>
          <cell r="H210">
            <v>1.6093</v>
          </cell>
          <cell r="I210">
            <v>311.26808066999456</v>
          </cell>
          <cell r="J210">
            <v>358.77376758010729</v>
          </cell>
        </row>
        <row r="211">
          <cell r="E211">
            <v>19</v>
          </cell>
          <cell r="F211">
            <v>0.47455931578947375</v>
          </cell>
          <cell r="G211">
            <v>474.55931578947377</v>
          </cell>
          <cell r="H211">
            <v>1.6093</v>
          </cell>
          <cell r="I211">
            <v>294.88555010841594</v>
          </cell>
          <cell r="J211">
            <v>339.89093770747007</v>
          </cell>
        </row>
        <row r="212">
          <cell r="E212">
            <v>20</v>
          </cell>
          <cell r="F212">
            <v>0.45083135000000008</v>
          </cell>
          <cell r="G212">
            <v>450.8313500000001</v>
          </cell>
          <cell r="H212">
            <v>1.6093</v>
          </cell>
          <cell r="I212">
            <v>280.14127260299517</v>
          </cell>
          <cell r="J212">
            <v>322.89639082209663</v>
          </cell>
        </row>
        <row r="213">
          <cell r="E213">
            <v>21</v>
          </cell>
          <cell r="F213">
            <v>0.42936319047619054</v>
          </cell>
          <cell r="G213">
            <v>429.36319047619054</v>
          </cell>
          <cell r="H213">
            <v>1.6093</v>
          </cell>
          <cell r="I213">
            <v>266.80121200285254</v>
          </cell>
          <cell r="J213">
            <v>307.52037221152057</v>
          </cell>
        </row>
        <row r="214">
          <cell r="E214">
            <v>22</v>
          </cell>
          <cell r="F214">
            <v>0.4098466818181819</v>
          </cell>
          <cell r="G214">
            <v>409.84668181818188</v>
          </cell>
          <cell r="H214">
            <v>1.6093</v>
          </cell>
          <cell r="I214">
            <v>254.67388418454104</v>
          </cell>
          <cell r="J214">
            <v>293.54217347463327</v>
          </cell>
        </row>
        <row r="215">
          <cell r="E215">
            <v>23</v>
          </cell>
          <cell r="F215">
            <v>0.3920272608695653</v>
          </cell>
          <cell r="G215">
            <v>392.02726086956528</v>
          </cell>
          <cell r="H215">
            <v>1.6093</v>
          </cell>
          <cell r="I215">
            <v>243.60110661130014</v>
          </cell>
          <cell r="J215">
            <v>280.77947028008401</v>
          </cell>
        </row>
        <row r="216">
          <cell r="E216">
            <v>24</v>
          </cell>
          <cell r="F216">
            <v>0.37569279166666675</v>
          </cell>
          <cell r="G216">
            <v>375.69279166666672</v>
          </cell>
          <cell r="H216">
            <v>1.6093</v>
          </cell>
          <cell r="I216">
            <v>233.45106050249595</v>
          </cell>
          <cell r="J216">
            <v>269.08032568508054</v>
          </cell>
        </row>
        <row r="217">
          <cell r="E217">
            <v>25</v>
          </cell>
          <cell r="F217">
            <v>0.36066508000000008</v>
          </cell>
          <cell r="G217">
            <v>360.6650800000001</v>
          </cell>
          <cell r="H217">
            <v>1.6093</v>
          </cell>
          <cell r="I217">
            <v>224.11301808239614</v>
          </cell>
          <cell r="J217">
            <v>258.31711265767728</v>
          </cell>
        </row>
        <row r="218">
          <cell r="E218">
            <v>26</v>
          </cell>
          <cell r="F218">
            <v>0.34679334615384622</v>
          </cell>
          <cell r="G218">
            <v>346.79334615384624</v>
          </cell>
          <cell r="H218">
            <v>1.6093</v>
          </cell>
          <cell r="I218">
            <v>215.4932866176886</v>
          </cell>
          <cell r="J218">
            <v>248.38183909392046</v>
          </cell>
        </row>
        <row r="219">
          <cell r="E219">
            <v>27</v>
          </cell>
          <cell r="F219">
            <v>0.33394914814814819</v>
          </cell>
          <cell r="G219">
            <v>333.9491481481482</v>
          </cell>
          <cell r="H219">
            <v>1.6093</v>
          </cell>
          <cell r="I219">
            <v>207.51205377999639</v>
          </cell>
          <cell r="J219">
            <v>239.18251172007157</v>
          </cell>
        </row>
        <row r="220">
          <cell r="E220">
            <v>28</v>
          </cell>
          <cell r="F220">
            <v>0.3220223928571429</v>
          </cell>
          <cell r="G220">
            <v>322.0223928571429</v>
          </cell>
          <cell r="H220">
            <v>1.6093</v>
          </cell>
          <cell r="I220">
            <v>200.10090900213939</v>
          </cell>
          <cell r="J220">
            <v>230.64027915864042</v>
          </cell>
        </row>
        <row r="221">
          <cell r="E221">
            <v>29</v>
          </cell>
          <cell r="F221">
            <v>0.31091817241379316</v>
          </cell>
          <cell r="G221">
            <v>310.91817241379317</v>
          </cell>
          <cell r="H221">
            <v>1.6093</v>
          </cell>
          <cell r="I221">
            <v>193.20087765723804</v>
          </cell>
          <cell r="J221">
            <v>222.68716608420456</v>
          </cell>
        </row>
        <row r="222">
          <cell r="E222">
            <v>30</v>
          </cell>
          <cell r="F222">
            <v>0.30055423333333336</v>
          </cell>
          <cell r="G222">
            <v>300.55423333333334</v>
          </cell>
          <cell r="H222">
            <v>1.6093</v>
          </cell>
          <cell r="I222">
            <v>186.76084840199672</v>
          </cell>
          <cell r="J222">
            <v>215.26426054806436</v>
          </cell>
        </row>
        <row r="223">
          <cell r="E223">
            <v>31</v>
          </cell>
          <cell r="F223">
            <v>0.29085893548387104</v>
          </cell>
          <cell r="G223">
            <v>290.85893548387105</v>
          </cell>
          <cell r="H223">
            <v>1.6093</v>
          </cell>
          <cell r="I223">
            <v>180.73630490515819</v>
          </cell>
          <cell r="J223">
            <v>208.32025214328817</v>
          </cell>
        </row>
        <row r="224">
          <cell r="E224">
            <v>32</v>
          </cell>
          <cell r="F224">
            <v>0.28176959375000005</v>
          </cell>
          <cell r="G224">
            <v>281.76959375000007</v>
          </cell>
          <cell r="H224">
            <v>1.6093</v>
          </cell>
          <cell r="I224">
            <v>175.08829537687197</v>
          </cell>
          <cell r="J224">
            <v>201.81024426381038</v>
          </cell>
        </row>
        <row r="225">
          <cell r="E225">
            <v>33</v>
          </cell>
          <cell r="F225">
            <v>0.27323112121212123</v>
          </cell>
          <cell r="G225">
            <v>273.23112121212125</v>
          </cell>
          <cell r="H225">
            <v>1.6093</v>
          </cell>
          <cell r="I225">
            <v>169.78258945636068</v>
          </cell>
          <cell r="J225">
            <v>195.69478231642216</v>
          </cell>
        </row>
        <row r="226">
          <cell r="E226">
            <v>34</v>
          </cell>
          <cell r="F226">
            <v>0.26519491176470594</v>
          </cell>
          <cell r="G226">
            <v>265.19491176470592</v>
          </cell>
          <cell r="H226">
            <v>1.6093</v>
          </cell>
          <cell r="I226">
            <v>164.7889838841148</v>
          </cell>
          <cell r="J226">
            <v>189.9390534247627</v>
          </cell>
        </row>
        <row r="227">
          <cell r="E227">
            <v>35</v>
          </cell>
          <cell r="F227">
            <v>0.25761791428571434</v>
          </cell>
          <cell r="G227">
            <v>257.61791428571433</v>
          </cell>
          <cell r="H227">
            <v>1.6093</v>
          </cell>
          <cell r="I227">
            <v>160.08072720171151</v>
          </cell>
          <cell r="J227">
            <v>184.51222332691233</v>
          </cell>
        </row>
        <row r="228">
          <cell r="E228">
            <v>36</v>
          </cell>
          <cell r="F228">
            <v>0.25046186111111113</v>
          </cell>
          <cell r="G228">
            <v>250.46186111111112</v>
          </cell>
          <cell r="H228">
            <v>1.6093</v>
          </cell>
          <cell r="I228">
            <v>155.63404033499728</v>
          </cell>
          <cell r="J228">
            <v>179.38688379005364</v>
          </cell>
        </row>
        <row r="229">
          <cell r="E229">
            <v>37</v>
          </cell>
          <cell r="F229">
            <v>0.24369262162162167</v>
          </cell>
          <cell r="G229">
            <v>243.69262162162167</v>
          </cell>
          <cell r="H229">
            <v>1.6093</v>
          </cell>
          <cell r="I229">
            <v>151.42771492053791</v>
          </cell>
          <cell r="J229">
            <v>174.53858963356572</v>
          </cell>
        </row>
        <row r="230">
          <cell r="E230">
            <v>38</v>
          </cell>
          <cell r="F230">
            <v>0.23727965789473687</v>
          </cell>
          <cell r="G230">
            <v>237.27965789473689</v>
          </cell>
          <cell r="H230">
            <v>1.6093</v>
          </cell>
          <cell r="I230">
            <v>147.44277505420797</v>
          </cell>
          <cell r="J230">
            <v>169.94546885373504</v>
          </cell>
        </row>
        <row r="231">
          <cell r="E231">
            <v>39</v>
          </cell>
          <cell r="F231">
            <v>0.23119556410256414</v>
          </cell>
          <cell r="G231">
            <v>231.19556410256413</v>
          </cell>
          <cell r="H231">
            <v>1.6093</v>
          </cell>
          <cell r="I231">
            <v>143.66219107845905</v>
          </cell>
          <cell r="J231">
            <v>165.5878927292803</v>
          </cell>
        </row>
        <row r="232">
          <cell r="E232">
            <v>40</v>
          </cell>
          <cell r="F232">
            <v>0.22541567500000004</v>
          </cell>
          <cell r="G232">
            <v>225.41567500000005</v>
          </cell>
          <cell r="H232">
            <v>1.6093</v>
          </cell>
          <cell r="I232">
            <v>140.07063630149759</v>
          </cell>
          <cell r="J232">
            <v>161.44819541104832</v>
          </cell>
        </row>
        <row r="233">
          <cell r="E233">
            <v>41</v>
          </cell>
          <cell r="F233">
            <v>0.2199177317073171</v>
          </cell>
          <cell r="G233">
            <v>219.9177317073171</v>
          </cell>
          <cell r="H233">
            <v>1.6093</v>
          </cell>
          <cell r="I233">
            <v>136.65427931853421</v>
          </cell>
          <cell r="J233">
            <v>157.51043454736418</v>
          </cell>
        </row>
        <row r="234">
          <cell r="E234">
            <v>42</v>
          </cell>
          <cell r="F234">
            <v>0.21468159523809527</v>
          </cell>
          <cell r="G234">
            <v>214.68159523809527</v>
          </cell>
          <cell r="H234">
            <v>1.6093</v>
          </cell>
          <cell r="I234">
            <v>133.40060600142627</v>
          </cell>
          <cell r="J234">
            <v>153.76018610576028</v>
          </cell>
        </row>
        <row r="235">
          <cell r="E235">
            <v>43</v>
          </cell>
          <cell r="F235">
            <v>0.20968900000000004</v>
          </cell>
          <cell r="G235">
            <v>209.68900000000005</v>
          </cell>
          <cell r="H235">
            <v>1.6093</v>
          </cell>
          <cell r="I235">
            <v>130.2982663269745</v>
          </cell>
          <cell r="J235">
            <v>150.18436782423097</v>
          </cell>
        </row>
        <row r="236">
          <cell r="E236">
            <v>44</v>
          </cell>
          <cell r="F236">
            <v>0.20492334090909095</v>
          </cell>
          <cell r="G236">
            <v>204.92334090909094</v>
          </cell>
          <cell r="H236">
            <v>1.6093</v>
          </cell>
          <cell r="I236">
            <v>127.33694209227052</v>
          </cell>
          <cell r="J236">
            <v>146.77108673731664</v>
          </cell>
        </row>
        <row r="237">
          <cell r="E237">
            <v>45</v>
          </cell>
          <cell r="F237">
            <v>0.20036948888888892</v>
          </cell>
          <cell r="G237">
            <v>200.36948888888892</v>
          </cell>
          <cell r="H237">
            <v>1.6093</v>
          </cell>
          <cell r="I237">
            <v>124.50723226799785</v>
          </cell>
          <cell r="J237">
            <v>143.50950703204293</v>
          </cell>
        </row>
        <row r="238">
          <cell r="E238">
            <v>46</v>
          </cell>
          <cell r="F238">
            <v>0.19601363043478265</v>
          </cell>
          <cell r="G238">
            <v>196.01363043478264</v>
          </cell>
          <cell r="H238">
            <v>1.6093</v>
          </cell>
          <cell r="I238">
            <v>121.80055330565007</v>
          </cell>
          <cell r="J238">
            <v>140.38973514004201</v>
          </cell>
        </row>
        <row r="239">
          <cell r="E239">
            <v>47</v>
          </cell>
          <cell r="F239">
            <v>0.19184312765957451</v>
          </cell>
          <cell r="G239">
            <v>191.84312765957452</v>
          </cell>
          <cell r="H239">
            <v>1.6093</v>
          </cell>
          <cell r="I239">
            <v>119.20905217148731</v>
          </cell>
          <cell r="J239">
            <v>137.40271949876455</v>
          </cell>
        </row>
        <row r="240">
          <cell r="E240">
            <v>48</v>
          </cell>
          <cell r="F240">
            <v>0.18784639583333337</v>
          </cell>
          <cell r="G240">
            <v>187.84639583333336</v>
          </cell>
          <cell r="H240">
            <v>1.6093</v>
          </cell>
          <cell r="I240">
            <v>116.72553025124797</v>
          </cell>
          <cell r="J240">
            <v>134.54016284254027</v>
          </cell>
        </row>
        <row r="241">
          <cell r="E241">
            <v>49</v>
          </cell>
          <cell r="F241">
            <v>0.18401279591836739</v>
          </cell>
          <cell r="G241">
            <v>184.0127959183674</v>
          </cell>
          <cell r="H241">
            <v>1.6093</v>
          </cell>
          <cell r="I241">
            <v>114.3433765726511</v>
          </cell>
          <cell r="J241">
            <v>131.79444523350884</v>
          </cell>
        </row>
        <row r="242">
          <cell r="E242">
            <v>50</v>
          </cell>
          <cell r="F242">
            <v>0.18033254000000004</v>
          </cell>
          <cell r="G242">
            <v>180.33254000000005</v>
          </cell>
          <cell r="H242">
            <v>1.6093</v>
          </cell>
          <cell r="I242">
            <v>112.05650904119807</v>
          </cell>
          <cell r="J242">
            <v>129.15855632883864</v>
          </cell>
        </row>
        <row r="243">
          <cell r="E243">
            <v>51</v>
          </cell>
          <cell r="F243">
            <v>0.17679660784313728</v>
          </cell>
          <cell r="G243">
            <v>176.79660784313728</v>
          </cell>
          <cell r="H243">
            <v>1.6093</v>
          </cell>
          <cell r="I243">
            <v>109.85932258940986</v>
          </cell>
          <cell r="J243">
            <v>126.62603561650847</v>
          </cell>
        </row>
        <row r="244">
          <cell r="E244">
            <v>52</v>
          </cell>
          <cell r="F244">
            <v>0.17339667307692311</v>
          </cell>
          <cell r="G244">
            <v>173.39667307692312</v>
          </cell>
          <cell r="H244">
            <v>1.6093</v>
          </cell>
          <cell r="I244">
            <v>107.7466433088443</v>
          </cell>
          <cell r="J244">
            <v>124.19091954696023</v>
          </cell>
        </row>
        <row r="245">
          <cell r="E245">
            <v>53</v>
          </cell>
          <cell r="F245">
            <v>0.17012503773584908</v>
          </cell>
          <cell r="G245">
            <v>170.12503773584908</v>
          </cell>
          <cell r="H245">
            <v>1.6093</v>
          </cell>
          <cell r="I245">
            <v>105.71368777471514</v>
          </cell>
          <cell r="J245">
            <v>121.84769464984777</v>
          </cell>
        </row>
        <row r="246">
          <cell r="E246">
            <v>54</v>
          </cell>
          <cell r="F246">
            <v>0.16697457407407409</v>
          </cell>
          <cell r="G246">
            <v>166.9745740740741</v>
          </cell>
          <cell r="H246">
            <v>1.6093</v>
          </cell>
          <cell r="I246">
            <v>103.7560268899982</v>
          </cell>
          <cell r="J246">
            <v>119.59125586003579</v>
          </cell>
        </row>
        <row r="247">
          <cell r="E247">
            <v>55</v>
          </cell>
          <cell r="F247">
            <v>0.16393867272727275</v>
          </cell>
          <cell r="G247">
            <v>163.93867272727275</v>
          </cell>
          <cell r="H247">
            <v>1.6093</v>
          </cell>
          <cell r="I247">
            <v>101.86955367381641</v>
          </cell>
          <cell r="J247">
            <v>117.41686938985332</v>
          </cell>
        </row>
        <row r="248">
          <cell r="E248">
            <v>56</v>
          </cell>
          <cell r="F248">
            <v>0.16101119642857145</v>
          </cell>
          <cell r="G248">
            <v>161.01119642857145</v>
          </cell>
          <cell r="H248">
            <v>1.6093</v>
          </cell>
          <cell r="I248">
            <v>100.05045450106969</v>
          </cell>
          <cell r="J248">
            <v>115.32013957932021</v>
          </cell>
        </row>
        <row r="249">
          <cell r="E249">
            <v>57</v>
          </cell>
          <cell r="F249">
            <v>0.15818643859649126</v>
          </cell>
          <cell r="G249">
            <v>158.18643859649126</v>
          </cell>
          <cell r="H249">
            <v>1.6093</v>
          </cell>
          <cell r="I249">
            <v>98.295183369471985</v>
          </cell>
          <cell r="J249">
            <v>113.29697923582337</v>
          </cell>
        </row>
        <row r="250">
          <cell r="E250">
            <v>58</v>
          </cell>
          <cell r="F250">
            <v>0.15545908620689658</v>
          </cell>
          <cell r="G250">
            <v>155.45908620689659</v>
          </cell>
          <cell r="H250">
            <v>1.6093</v>
          </cell>
          <cell r="I250">
            <v>96.600438828619019</v>
          </cell>
          <cell r="J250">
            <v>111.34358304210228</v>
          </cell>
        </row>
        <row r="251">
          <cell r="E251">
            <v>59</v>
          </cell>
          <cell r="F251">
            <v>0.15282418644067799</v>
          </cell>
          <cell r="G251">
            <v>152.82418644067801</v>
          </cell>
          <cell r="H251">
            <v>1.6093</v>
          </cell>
          <cell r="I251">
            <v>94.963143255252604</v>
          </cell>
          <cell r="J251">
            <v>109.45640366850733</v>
          </cell>
        </row>
        <row r="252">
          <cell r="E252">
            <v>60</v>
          </cell>
          <cell r="F252">
            <v>0.15027711666666668</v>
          </cell>
          <cell r="G252">
            <v>150.27711666666667</v>
          </cell>
          <cell r="H252">
            <v>1.6093</v>
          </cell>
          <cell r="I252">
            <v>93.380424200998362</v>
          </cell>
          <cell r="J252">
            <v>107.63213027403218</v>
          </cell>
        </row>
        <row r="253">
          <cell r="E253">
            <v>61</v>
          </cell>
          <cell r="F253">
            <v>0.14781355737704921</v>
          </cell>
          <cell r="G253">
            <v>147.81355737704922</v>
          </cell>
          <cell r="H253">
            <v>1.6093</v>
          </cell>
          <cell r="I253">
            <v>91.849597574752522</v>
          </cell>
          <cell r="J253">
            <v>105.8676691219989</v>
          </cell>
        </row>
        <row r="254">
          <cell r="E254">
            <v>62</v>
          </cell>
          <cell r="F254">
            <v>0.14542946774193552</v>
          </cell>
          <cell r="G254">
            <v>145.42946774193553</v>
          </cell>
          <cell r="H254">
            <v>1.6093</v>
          </cell>
          <cell r="I254">
            <v>90.368152452579096</v>
          </cell>
          <cell r="J254">
            <v>104.16012607164409</v>
          </cell>
        </row>
        <row r="255">
          <cell r="E255">
            <v>63</v>
          </cell>
          <cell r="F255">
            <v>0.14312106349206352</v>
          </cell>
          <cell r="G255">
            <v>143.12106349206351</v>
          </cell>
          <cell r="H255">
            <v>1.6093</v>
          </cell>
          <cell r="I255">
            <v>88.933737334284174</v>
          </cell>
          <cell r="J255">
            <v>102.50679073717353</v>
          </cell>
        </row>
        <row r="256">
          <cell r="E256">
            <v>64</v>
          </cell>
          <cell r="F256">
            <v>0.14088479687500002</v>
          </cell>
          <cell r="G256">
            <v>140.88479687500003</v>
          </cell>
          <cell r="H256">
            <v>1.6093</v>
          </cell>
          <cell r="I256">
            <v>87.544147688435984</v>
          </cell>
          <cell r="J256">
            <v>100.90512213190519</v>
          </cell>
        </row>
        <row r="257">
          <cell r="E257">
            <v>65</v>
          </cell>
          <cell r="F257">
            <v>0.1387173384615385</v>
          </cell>
          <cell r="G257">
            <v>138.7173384615385</v>
          </cell>
          <cell r="H257">
            <v>1.6093</v>
          </cell>
          <cell r="I257">
            <v>86.197314647075444</v>
          </cell>
          <cell r="J257">
            <v>99.352735637568202</v>
          </cell>
        </row>
        <row r="258">
          <cell r="E258">
            <v>66</v>
          </cell>
          <cell r="F258">
            <v>0.13661556060606062</v>
          </cell>
          <cell r="G258">
            <v>136.61556060606063</v>
          </cell>
          <cell r="H258">
            <v>1.6093</v>
          </cell>
          <cell r="I258">
            <v>84.891294728180341</v>
          </cell>
          <cell r="J258">
            <v>97.847391158211082</v>
          </cell>
        </row>
        <row r="259">
          <cell r="E259">
            <v>67</v>
          </cell>
          <cell r="F259">
            <v>0.13457652238805973</v>
          </cell>
          <cell r="G259">
            <v>134.57652238805971</v>
          </cell>
          <cell r="H259">
            <v>1.6093</v>
          </cell>
          <cell r="I259">
            <v>83.624260478506002</v>
          </cell>
          <cell r="J259">
            <v>96.386982334954197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6311-F8C9-4C44-9FAE-125A3315DC37}">
  <dimension ref="B1:AT82"/>
  <sheetViews>
    <sheetView tabSelected="1" topLeftCell="A22" zoomScale="70" zoomScaleNormal="70" workbookViewId="0">
      <selection activeCell="E77" sqref="E77:AR77"/>
    </sheetView>
  </sheetViews>
  <sheetFormatPr defaultColWidth="8.84375" defaultRowHeight="14.6" outlineLevelRow="1"/>
  <cols>
    <col min="1" max="1" width="2.69140625" style="135" customWidth="1"/>
    <col min="2" max="2" width="7.15234375" style="134" customWidth="1"/>
    <col min="3" max="3" width="9.15234375" style="134" customWidth="1"/>
    <col min="4" max="4" width="32.84375" style="135" customWidth="1"/>
    <col min="5" max="14" width="8.84375" style="135" customWidth="1"/>
    <col min="15" max="25" width="10.3046875" style="135" bestFit="1" customWidth="1"/>
    <col min="26" max="30" width="9.3046875" style="135" bestFit="1" customWidth="1"/>
    <col min="31" max="44" width="9.15234375" style="135" bestFit="1" customWidth="1"/>
    <col min="45" max="45" width="8.84375" style="135"/>
    <col min="46" max="46" width="9.15234375" style="135" bestFit="1" customWidth="1"/>
    <col min="47" max="16384" width="8.84375" style="135"/>
  </cols>
  <sheetData>
    <row r="1" spans="2:44" ht="34" customHeight="1">
      <c r="D1" s="144" t="s">
        <v>82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spans="2:44" s="28" customFormat="1">
      <c r="B2" s="30"/>
      <c r="C2" s="30"/>
      <c r="D2" s="1" t="s">
        <v>8</v>
      </c>
      <c r="E2" s="29">
        <v>1</v>
      </c>
    </row>
    <row r="3" spans="2:44" s="28" customFormat="1">
      <c r="B3" s="30"/>
      <c r="C3" s="30"/>
      <c r="D3" s="1" t="s">
        <v>9</v>
      </c>
      <c r="E3" s="29" t="s">
        <v>94</v>
      </c>
    </row>
    <row r="4" spans="2:44" s="28" customFormat="1">
      <c r="B4" s="30"/>
      <c r="C4" s="30"/>
      <c r="D4" s="1" t="s">
        <v>10</v>
      </c>
      <c r="E4" s="30" t="s">
        <v>83</v>
      </c>
    </row>
    <row r="5" spans="2:44" s="28" customFormat="1">
      <c r="B5" s="30"/>
      <c r="C5" s="30"/>
      <c r="D5" s="1"/>
      <c r="E5" s="30"/>
    </row>
    <row r="6" spans="2:44" s="28" customFormat="1" ht="20.05" customHeight="1">
      <c r="B6" s="30"/>
      <c r="C6" s="30"/>
      <c r="D6" s="145" t="s">
        <v>84</v>
      </c>
      <c r="E6" s="145"/>
      <c r="F6" s="145"/>
    </row>
    <row r="7" spans="2:44" s="28" customFormat="1">
      <c r="B7" s="30"/>
      <c r="C7" s="30"/>
      <c r="D7" s="146" t="s">
        <v>85</v>
      </c>
      <c r="E7" s="146" t="s">
        <v>0</v>
      </c>
      <c r="F7" s="146" t="s">
        <v>4</v>
      </c>
    </row>
    <row r="8" spans="2:44" s="28" customFormat="1">
      <c r="B8" s="30"/>
      <c r="C8" s="30"/>
      <c r="D8" s="28" t="s">
        <v>86</v>
      </c>
      <c r="E8" s="147">
        <v>0.18</v>
      </c>
      <c r="F8" s="147" t="s">
        <v>87</v>
      </c>
    </row>
    <row r="9" spans="2:44" s="28" customFormat="1">
      <c r="B9" s="30"/>
      <c r="C9" s="30"/>
      <c r="E9" s="147"/>
      <c r="F9" s="147"/>
    </row>
    <row r="10" spans="2:44" s="28" customFormat="1">
      <c r="B10" s="30"/>
      <c r="C10" s="30"/>
      <c r="D10" s="41" t="s">
        <v>96</v>
      </c>
    </row>
    <row r="11" spans="2:44" s="28" customFormat="1">
      <c r="B11" s="30"/>
      <c r="C11" s="30"/>
      <c r="D11" s="28" t="s">
        <v>97</v>
      </c>
      <c r="E11" s="28">
        <f>'Project area'!C3</f>
        <v>3957</v>
      </c>
      <c r="F11" s="28" t="s">
        <v>2</v>
      </c>
    </row>
    <row r="12" spans="2:44" s="28" customFormat="1">
      <c r="B12" s="30"/>
      <c r="C12" s="30"/>
      <c r="D12" s="28" t="s">
        <v>98</v>
      </c>
      <c r="E12" s="28">
        <v>1.8</v>
      </c>
      <c r="F12" s="28" t="s">
        <v>95</v>
      </c>
    </row>
    <row r="13" spans="2:44" s="28" customFormat="1">
      <c r="B13" s="30"/>
      <c r="C13" s="30"/>
      <c r="D13" s="28" t="s">
        <v>1</v>
      </c>
      <c r="E13" s="28">
        <v>0.42</v>
      </c>
      <c r="F13" s="28" t="s">
        <v>88</v>
      </c>
    </row>
    <row r="14" spans="2:44" s="28" customFormat="1">
      <c r="B14" s="30"/>
      <c r="C14" s="30"/>
    </row>
    <row r="15" spans="2:44" s="28" customFormat="1">
      <c r="B15" s="30"/>
      <c r="C15" s="30"/>
      <c r="D15" s="41" t="s">
        <v>89</v>
      </c>
    </row>
    <row r="16" spans="2:44" s="28" customFormat="1">
      <c r="B16" s="30"/>
      <c r="C16" s="30"/>
      <c r="D16" s="28" t="s">
        <v>90</v>
      </c>
      <c r="E16" s="148">
        <v>0.8</v>
      </c>
      <c r="F16" s="28" t="s">
        <v>91</v>
      </c>
      <c r="J16" s="28">
        <f>E16/0.5</f>
        <v>1.6</v>
      </c>
    </row>
    <row r="17" spans="2:46" s="28" customFormat="1">
      <c r="B17" s="30"/>
      <c r="C17" s="30"/>
    </row>
    <row r="18" spans="2:46" s="28" customFormat="1">
      <c r="B18" s="30"/>
      <c r="C18" s="30"/>
      <c r="D18" s="41" t="s">
        <v>92</v>
      </c>
    </row>
    <row r="19" spans="2:46" s="28" customFormat="1">
      <c r="B19" s="30"/>
      <c r="C19" s="30"/>
      <c r="D19" s="28" t="s">
        <v>93</v>
      </c>
      <c r="E19" s="149">
        <f>44/12</f>
        <v>3.6666666666666665</v>
      </c>
    </row>
    <row r="20" spans="2:46" s="28" customFormat="1">
      <c r="B20" s="30"/>
      <c r="C20" s="30"/>
    </row>
    <row r="22" spans="2:46" ht="24" customHeight="1">
      <c r="D22" s="150" t="s">
        <v>35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spans="2:46" s="134" customFormat="1">
      <c r="E23" s="101">
        <v>2017</v>
      </c>
      <c r="F23" s="101">
        <f>E23+1</f>
        <v>2018</v>
      </c>
      <c r="G23" s="101">
        <f t="shared" ref="G23:AR23" si="0">F23+1</f>
        <v>2019</v>
      </c>
      <c r="H23" s="101">
        <f t="shared" si="0"/>
        <v>2020</v>
      </c>
      <c r="I23" s="101">
        <f t="shared" si="0"/>
        <v>2021</v>
      </c>
      <c r="J23" s="101">
        <f t="shared" si="0"/>
        <v>2022</v>
      </c>
      <c r="K23" s="101">
        <f t="shared" si="0"/>
        <v>2023</v>
      </c>
      <c r="L23" s="101">
        <f t="shared" si="0"/>
        <v>2024</v>
      </c>
      <c r="M23" s="101">
        <f t="shared" si="0"/>
        <v>2025</v>
      </c>
      <c r="N23" s="101">
        <f t="shared" si="0"/>
        <v>2026</v>
      </c>
      <c r="O23" s="101">
        <f t="shared" si="0"/>
        <v>2027</v>
      </c>
      <c r="P23" s="101">
        <f t="shared" si="0"/>
        <v>2028</v>
      </c>
      <c r="Q23" s="101">
        <f t="shared" si="0"/>
        <v>2029</v>
      </c>
      <c r="R23" s="101">
        <f t="shared" si="0"/>
        <v>2030</v>
      </c>
      <c r="S23" s="101">
        <f t="shared" si="0"/>
        <v>2031</v>
      </c>
      <c r="T23" s="101">
        <f t="shared" si="0"/>
        <v>2032</v>
      </c>
      <c r="U23" s="101">
        <f t="shared" si="0"/>
        <v>2033</v>
      </c>
      <c r="V23" s="101">
        <f t="shared" si="0"/>
        <v>2034</v>
      </c>
      <c r="W23" s="101">
        <f t="shared" si="0"/>
        <v>2035</v>
      </c>
      <c r="X23" s="101">
        <f t="shared" si="0"/>
        <v>2036</v>
      </c>
      <c r="Y23" s="101">
        <f t="shared" si="0"/>
        <v>2037</v>
      </c>
      <c r="Z23" s="101">
        <f t="shared" si="0"/>
        <v>2038</v>
      </c>
      <c r="AA23" s="101">
        <f t="shared" si="0"/>
        <v>2039</v>
      </c>
      <c r="AB23" s="101">
        <f t="shared" si="0"/>
        <v>2040</v>
      </c>
      <c r="AC23" s="101">
        <f t="shared" si="0"/>
        <v>2041</v>
      </c>
      <c r="AD23" s="101">
        <f t="shared" si="0"/>
        <v>2042</v>
      </c>
      <c r="AE23" s="101">
        <f t="shared" si="0"/>
        <v>2043</v>
      </c>
      <c r="AF23" s="101">
        <f t="shared" si="0"/>
        <v>2044</v>
      </c>
      <c r="AG23" s="101">
        <f t="shared" si="0"/>
        <v>2045</v>
      </c>
      <c r="AH23" s="101">
        <f t="shared" si="0"/>
        <v>2046</v>
      </c>
      <c r="AI23" s="101">
        <f t="shared" si="0"/>
        <v>2047</v>
      </c>
      <c r="AJ23" s="101">
        <f t="shared" si="0"/>
        <v>2048</v>
      </c>
      <c r="AK23" s="101">
        <f t="shared" si="0"/>
        <v>2049</v>
      </c>
      <c r="AL23" s="101">
        <f t="shared" si="0"/>
        <v>2050</v>
      </c>
      <c r="AM23" s="101">
        <f t="shared" si="0"/>
        <v>2051</v>
      </c>
      <c r="AN23" s="101">
        <f t="shared" si="0"/>
        <v>2052</v>
      </c>
      <c r="AO23" s="101">
        <f t="shared" si="0"/>
        <v>2053</v>
      </c>
      <c r="AP23" s="101">
        <f t="shared" si="0"/>
        <v>2054</v>
      </c>
      <c r="AQ23" s="101">
        <f t="shared" si="0"/>
        <v>2055</v>
      </c>
      <c r="AR23" s="101">
        <f t="shared" si="0"/>
        <v>2056</v>
      </c>
    </row>
    <row r="24" spans="2:46" s="27" customFormat="1">
      <c r="B24" s="79"/>
      <c r="C24" s="79"/>
      <c r="E24" s="27" t="s">
        <v>36</v>
      </c>
      <c r="F24" s="27" t="s">
        <v>37</v>
      </c>
      <c r="G24" s="27" t="s">
        <v>38</v>
      </c>
      <c r="H24" s="27" t="s">
        <v>39</v>
      </c>
      <c r="I24" s="27" t="s">
        <v>40</v>
      </c>
      <c r="J24" s="27" t="s">
        <v>41</v>
      </c>
      <c r="K24" s="27" t="s">
        <v>42</v>
      </c>
      <c r="L24" s="27" t="s">
        <v>43</v>
      </c>
      <c r="M24" s="27" t="s">
        <v>44</v>
      </c>
      <c r="N24" s="27" t="s">
        <v>45</v>
      </c>
      <c r="O24" s="27" t="s">
        <v>46</v>
      </c>
      <c r="P24" s="27" t="s">
        <v>47</v>
      </c>
      <c r="Q24" s="27" t="s">
        <v>48</v>
      </c>
      <c r="R24" s="27" t="s">
        <v>49</v>
      </c>
      <c r="S24" s="27" t="s">
        <v>50</v>
      </c>
      <c r="T24" s="27" t="s">
        <v>51</v>
      </c>
      <c r="U24" s="27" t="s">
        <v>52</v>
      </c>
      <c r="V24" s="27" t="s">
        <v>53</v>
      </c>
      <c r="W24" s="27" t="s">
        <v>54</v>
      </c>
      <c r="X24" s="27" t="s">
        <v>55</v>
      </c>
      <c r="Y24" s="27" t="s">
        <v>56</v>
      </c>
      <c r="Z24" s="27" t="s">
        <v>57</v>
      </c>
      <c r="AA24" s="27" t="s">
        <v>58</v>
      </c>
      <c r="AB24" s="27" t="s">
        <v>59</v>
      </c>
      <c r="AC24" s="27" t="s">
        <v>60</v>
      </c>
      <c r="AD24" s="27" t="s">
        <v>61</v>
      </c>
      <c r="AE24" s="27" t="s">
        <v>62</v>
      </c>
      <c r="AF24" s="27" t="s">
        <v>63</v>
      </c>
      <c r="AG24" s="27" t="s">
        <v>64</v>
      </c>
      <c r="AH24" s="27" t="s">
        <v>65</v>
      </c>
      <c r="AI24" s="27" t="s">
        <v>66</v>
      </c>
      <c r="AJ24" s="27" t="s">
        <v>67</v>
      </c>
      <c r="AK24" s="27" t="s">
        <v>68</v>
      </c>
      <c r="AL24" s="27" t="s">
        <v>69</v>
      </c>
      <c r="AM24" s="27" t="s">
        <v>70</v>
      </c>
      <c r="AN24" s="27" t="s">
        <v>71</v>
      </c>
      <c r="AO24" s="27" t="s">
        <v>72</v>
      </c>
      <c r="AP24" s="27" t="s">
        <v>73</v>
      </c>
      <c r="AQ24" s="27" t="s">
        <v>74</v>
      </c>
      <c r="AR24" s="27" t="s">
        <v>75</v>
      </c>
    </row>
    <row r="26" spans="2:46">
      <c r="D26" s="151" t="s">
        <v>3</v>
      </c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</row>
    <row r="28" spans="2:46">
      <c r="D28" s="27" t="s">
        <v>76</v>
      </c>
    </row>
    <row r="29" spans="2:46">
      <c r="D29" s="135" t="s">
        <v>7</v>
      </c>
      <c r="E29" s="138">
        <f>($E$12*(1+$E$13))*$E$11</f>
        <v>10114.092000000001</v>
      </c>
      <c r="F29" s="138">
        <f>($E$12*(1+$E$13))*$E$11</f>
        <v>10114.092000000001</v>
      </c>
      <c r="G29" s="138">
        <f>($E$12*(1+$E$13))*$E$11</f>
        <v>10114.092000000001</v>
      </c>
      <c r="H29" s="138">
        <f>($E$12*(1+$E$13))*$E$11</f>
        <v>10114.092000000001</v>
      </c>
      <c r="I29" s="138">
        <f>($E$12*(1+$E$13))*$E$11</f>
        <v>10114.092000000001</v>
      </c>
      <c r="J29" s="138">
        <f t="shared" ref="J29:AR29" si="1">($E$12*(1+$E$13))*$E$11</f>
        <v>10114.092000000001</v>
      </c>
      <c r="K29" s="138">
        <f t="shared" si="1"/>
        <v>10114.092000000001</v>
      </c>
      <c r="L29" s="138">
        <f t="shared" si="1"/>
        <v>10114.092000000001</v>
      </c>
      <c r="M29" s="138">
        <f t="shared" si="1"/>
        <v>10114.092000000001</v>
      </c>
      <c r="N29" s="138">
        <f t="shared" si="1"/>
        <v>10114.092000000001</v>
      </c>
      <c r="O29" s="138">
        <f t="shared" si="1"/>
        <v>10114.092000000001</v>
      </c>
      <c r="P29" s="138">
        <f t="shared" si="1"/>
        <v>10114.092000000001</v>
      </c>
      <c r="Q29" s="138">
        <f t="shared" si="1"/>
        <v>10114.092000000001</v>
      </c>
      <c r="R29" s="138">
        <f t="shared" si="1"/>
        <v>10114.092000000001</v>
      </c>
      <c r="S29" s="138">
        <f t="shared" si="1"/>
        <v>10114.092000000001</v>
      </c>
      <c r="T29" s="138">
        <f t="shared" si="1"/>
        <v>10114.092000000001</v>
      </c>
      <c r="U29" s="138">
        <f t="shared" si="1"/>
        <v>10114.092000000001</v>
      </c>
      <c r="V29" s="138">
        <f t="shared" si="1"/>
        <v>10114.092000000001</v>
      </c>
      <c r="W29" s="138">
        <f t="shared" si="1"/>
        <v>10114.092000000001</v>
      </c>
      <c r="X29" s="138">
        <f t="shared" si="1"/>
        <v>10114.092000000001</v>
      </c>
      <c r="Y29" s="138">
        <f t="shared" si="1"/>
        <v>10114.092000000001</v>
      </c>
      <c r="Z29" s="138">
        <f t="shared" si="1"/>
        <v>10114.092000000001</v>
      </c>
      <c r="AA29" s="138">
        <f t="shared" si="1"/>
        <v>10114.092000000001</v>
      </c>
      <c r="AB29" s="138">
        <f t="shared" si="1"/>
        <v>10114.092000000001</v>
      </c>
      <c r="AC29" s="138">
        <f t="shared" si="1"/>
        <v>10114.092000000001</v>
      </c>
      <c r="AD29" s="138">
        <f t="shared" si="1"/>
        <v>10114.092000000001</v>
      </c>
      <c r="AE29" s="138">
        <f t="shared" si="1"/>
        <v>10114.092000000001</v>
      </c>
      <c r="AF29" s="138">
        <f t="shared" si="1"/>
        <v>10114.092000000001</v>
      </c>
      <c r="AG29" s="138">
        <f t="shared" si="1"/>
        <v>10114.092000000001</v>
      </c>
      <c r="AH29" s="138">
        <f t="shared" si="1"/>
        <v>10114.092000000001</v>
      </c>
      <c r="AI29" s="138">
        <f t="shared" si="1"/>
        <v>10114.092000000001</v>
      </c>
      <c r="AJ29" s="138">
        <f t="shared" si="1"/>
        <v>10114.092000000001</v>
      </c>
      <c r="AK29" s="138">
        <f t="shared" si="1"/>
        <v>10114.092000000001</v>
      </c>
      <c r="AL29" s="138">
        <f t="shared" si="1"/>
        <v>10114.092000000001</v>
      </c>
      <c r="AM29" s="138">
        <f t="shared" si="1"/>
        <v>10114.092000000001</v>
      </c>
      <c r="AN29" s="138">
        <f t="shared" si="1"/>
        <v>10114.092000000001</v>
      </c>
      <c r="AO29" s="138">
        <f t="shared" si="1"/>
        <v>10114.092000000001</v>
      </c>
      <c r="AP29" s="138">
        <f t="shared" si="1"/>
        <v>10114.092000000001</v>
      </c>
      <c r="AQ29" s="138">
        <f t="shared" si="1"/>
        <v>10114.092000000001</v>
      </c>
      <c r="AR29" s="138">
        <f t="shared" si="1"/>
        <v>10114.092000000001</v>
      </c>
      <c r="AT29" s="138">
        <f>SUM(E29:AR29)</f>
        <v>404563.68000000011</v>
      </c>
    </row>
    <row r="30" spans="2:46"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T30" s="138"/>
    </row>
    <row r="31" spans="2:46">
      <c r="D31" s="27" t="s">
        <v>77</v>
      </c>
      <c r="AT31" s="138"/>
    </row>
    <row r="32" spans="2:46">
      <c r="D32" s="135" t="s">
        <v>7</v>
      </c>
      <c r="E32" s="138">
        <f>$E$16*$E$11</f>
        <v>3165.6000000000004</v>
      </c>
      <c r="F32" s="138">
        <f t="shared" ref="F32:X32" si="2">$E$16*$E$11</f>
        <v>3165.6000000000004</v>
      </c>
      <c r="G32" s="138">
        <f t="shared" si="2"/>
        <v>3165.6000000000004</v>
      </c>
      <c r="H32" s="138">
        <f t="shared" si="2"/>
        <v>3165.6000000000004</v>
      </c>
      <c r="I32" s="138">
        <f t="shared" si="2"/>
        <v>3165.6000000000004</v>
      </c>
      <c r="J32" s="138">
        <f t="shared" si="2"/>
        <v>3165.6000000000004</v>
      </c>
      <c r="K32" s="138">
        <f t="shared" si="2"/>
        <v>3165.6000000000004</v>
      </c>
      <c r="L32" s="138">
        <f t="shared" si="2"/>
        <v>3165.6000000000004</v>
      </c>
      <c r="M32" s="138">
        <f t="shared" si="2"/>
        <v>3165.6000000000004</v>
      </c>
      <c r="N32" s="138">
        <f t="shared" si="2"/>
        <v>3165.6000000000004</v>
      </c>
      <c r="O32" s="138">
        <f t="shared" si="2"/>
        <v>3165.6000000000004</v>
      </c>
      <c r="P32" s="138">
        <f t="shared" si="2"/>
        <v>3165.6000000000004</v>
      </c>
      <c r="Q32" s="138">
        <f t="shared" si="2"/>
        <v>3165.6000000000004</v>
      </c>
      <c r="R32" s="138">
        <f t="shared" si="2"/>
        <v>3165.6000000000004</v>
      </c>
      <c r="S32" s="138">
        <f t="shared" si="2"/>
        <v>3165.6000000000004</v>
      </c>
      <c r="T32" s="138">
        <f t="shared" si="2"/>
        <v>3165.6000000000004</v>
      </c>
      <c r="U32" s="138">
        <f t="shared" si="2"/>
        <v>3165.6000000000004</v>
      </c>
      <c r="V32" s="138">
        <f t="shared" si="2"/>
        <v>3165.6000000000004</v>
      </c>
      <c r="W32" s="138">
        <f t="shared" si="2"/>
        <v>3165.6000000000004</v>
      </c>
      <c r="X32" s="138">
        <f t="shared" si="2"/>
        <v>3165.6000000000004</v>
      </c>
      <c r="Y32" s="135">
        <v>0</v>
      </c>
      <c r="Z32" s="135">
        <v>0</v>
      </c>
      <c r="AA32" s="135">
        <v>0</v>
      </c>
      <c r="AB32" s="135">
        <v>0</v>
      </c>
      <c r="AC32" s="135">
        <v>0</v>
      </c>
      <c r="AD32" s="135">
        <v>0</v>
      </c>
      <c r="AE32" s="135">
        <v>0</v>
      </c>
      <c r="AF32" s="135">
        <v>0</v>
      </c>
      <c r="AG32" s="135">
        <v>0</v>
      </c>
      <c r="AH32" s="135">
        <v>0</v>
      </c>
      <c r="AI32" s="135">
        <v>0</v>
      </c>
      <c r="AJ32" s="135">
        <v>0</v>
      </c>
      <c r="AK32" s="135">
        <v>0</v>
      </c>
      <c r="AL32" s="135">
        <v>0</v>
      </c>
      <c r="AM32" s="135">
        <v>0</v>
      </c>
      <c r="AN32" s="135">
        <v>0</v>
      </c>
      <c r="AO32" s="135">
        <v>0</v>
      </c>
      <c r="AP32" s="135">
        <v>0</v>
      </c>
      <c r="AQ32" s="135">
        <v>0</v>
      </c>
      <c r="AR32" s="135">
        <v>0</v>
      </c>
      <c r="AT32" s="138">
        <f t="shared" ref="AT32" si="3">SUM(E32:AR32)</f>
        <v>63311.999999999985</v>
      </c>
    </row>
    <row r="33" spans="2:46">
      <c r="AT33" s="138"/>
    </row>
    <row r="34" spans="2:46">
      <c r="D34" s="151" t="s">
        <v>208</v>
      </c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T34" s="138"/>
    </row>
    <row r="35" spans="2:46">
      <c r="AT35" s="138"/>
    </row>
    <row r="36" spans="2:46">
      <c r="D36" s="27" t="s">
        <v>76</v>
      </c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T36" s="138"/>
    </row>
    <row r="37" spans="2:46">
      <c r="D37" s="135" t="s">
        <v>7</v>
      </c>
      <c r="E37" s="138">
        <f>'Outgrower Woody C Pool'!G80</f>
        <v>905.82413856113908</v>
      </c>
      <c r="F37" s="138">
        <f>'Outgrower Woody C Pool'!G81</f>
        <v>4669.411366114321</v>
      </c>
      <c r="G37" s="138">
        <f>'Outgrower Woody C Pool'!G82</f>
        <v>7408.8175627150995</v>
      </c>
      <c r="H37" s="138">
        <f>'Outgrower Woody C Pool'!G83</f>
        <v>11652.46189288373</v>
      </c>
      <c r="I37" s="138">
        <f>'Outgrower Woody C Pool'!G84</f>
        <v>14107.383377231992</v>
      </c>
      <c r="J37" s="138">
        <f>'Outgrower Woody C Pool'!G85</f>
        <v>16182.457479971112</v>
      </c>
      <c r="K37" s="138">
        <f>'Outgrower Woody C Pool'!G86</f>
        <v>17584.565345311799</v>
      </c>
      <c r="L37" s="138">
        <f>'Outgrower Woody C Pool'!G87</f>
        <v>15344.537492791438</v>
      </c>
      <c r="M37" s="138">
        <f>'Outgrower Woody C Pool'!G88</f>
        <v>0</v>
      </c>
      <c r="N37" s="138">
        <f>'Outgrower Woody C Pool'!G89</f>
        <v>6788.1716424268379</v>
      </c>
      <c r="O37" s="138">
        <f>'Outgrower Woody C Pool'!G90</f>
        <v>0</v>
      </c>
      <c r="P37" s="138">
        <f>'Outgrower Woody C Pool'!G91</f>
        <v>22102.048806442319</v>
      </c>
      <c r="Q37" s="138">
        <f>'Outgrower Woody C Pool'!G92</f>
        <v>18500.40511179906</v>
      </c>
      <c r="R37" s="138">
        <f>'Outgrower Woody C Pool'!G93</f>
        <v>37726.57975530671</v>
      </c>
      <c r="S37" s="138">
        <f>'Outgrower Woody C Pool'!G94</f>
        <v>10594.198030395724</v>
      </c>
      <c r="T37" s="138">
        <f>'Outgrower Woody C Pool'!G95</f>
        <v>0</v>
      </c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T37" s="138">
        <f>SUM(E37:AR37)</f>
        <v>183566.86200195126</v>
      </c>
    </row>
    <row r="38" spans="2:46"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T38" s="138"/>
    </row>
    <row r="39" spans="2:46">
      <c r="D39" s="27" t="s">
        <v>77</v>
      </c>
      <c r="E39" s="75"/>
      <c r="F39" s="75"/>
      <c r="G39" s="75"/>
      <c r="AT39" s="138"/>
    </row>
    <row r="40" spans="2:46" hidden="1" outlineLevel="1">
      <c r="B40" s="140">
        <v>2017</v>
      </c>
      <c r="C40" s="141">
        <f>'Outgrower Woody C Pool'!C80</f>
        <v>353.9500000000001</v>
      </c>
      <c r="E40" s="142">
        <f t="shared" ref="E40:X40" si="4">$E$16*$C40</f>
        <v>283.16000000000008</v>
      </c>
      <c r="F40" s="142">
        <f t="shared" si="4"/>
        <v>283.16000000000008</v>
      </c>
      <c r="G40" s="142">
        <f t="shared" si="4"/>
        <v>283.16000000000008</v>
      </c>
      <c r="H40" s="142">
        <f t="shared" si="4"/>
        <v>283.16000000000008</v>
      </c>
      <c r="I40" s="142">
        <f t="shared" si="4"/>
        <v>283.16000000000008</v>
      </c>
      <c r="J40" s="142">
        <f t="shared" si="4"/>
        <v>283.16000000000008</v>
      </c>
      <c r="K40" s="142">
        <f t="shared" si="4"/>
        <v>283.16000000000008</v>
      </c>
      <c r="L40" s="142">
        <f t="shared" si="4"/>
        <v>283.16000000000008</v>
      </c>
      <c r="M40" s="142">
        <f t="shared" si="4"/>
        <v>283.16000000000008</v>
      </c>
      <c r="N40" s="142">
        <f t="shared" si="4"/>
        <v>283.16000000000008</v>
      </c>
      <c r="O40" s="142">
        <f t="shared" si="4"/>
        <v>283.16000000000008</v>
      </c>
      <c r="P40" s="142">
        <f t="shared" si="4"/>
        <v>283.16000000000008</v>
      </c>
      <c r="Q40" s="142">
        <f t="shared" si="4"/>
        <v>283.16000000000008</v>
      </c>
      <c r="R40" s="142">
        <f t="shared" si="4"/>
        <v>283.16000000000008</v>
      </c>
      <c r="S40" s="142">
        <f t="shared" si="4"/>
        <v>283.16000000000008</v>
      </c>
      <c r="T40" s="142">
        <f t="shared" si="4"/>
        <v>283.16000000000008</v>
      </c>
      <c r="U40" s="142">
        <f t="shared" si="4"/>
        <v>283.16000000000008</v>
      </c>
      <c r="V40" s="142">
        <f t="shared" si="4"/>
        <v>283.16000000000008</v>
      </c>
      <c r="W40" s="142">
        <f t="shared" si="4"/>
        <v>283.16000000000008</v>
      </c>
      <c r="X40" s="142">
        <f t="shared" si="4"/>
        <v>283.16000000000008</v>
      </c>
      <c r="Y40" s="135">
        <v>0</v>
      </c>
      <c r="Z40" s="135">
        <v>0</v>
      </c>
      <c r="AA40" s="135">
        <v>0</v>
      </c>
      <c r="AB40" s="135">
        <v>0</v>
      </c>
      <c r="AC40" s="135">
        <v>0</v>
      </c>
      <c r="AD40" s="135">
        <v>0</v>
      </c>
      <c r="AE40" s="135">
        <v>0</v>
      </c>
      <c r="AF40" s="135">
        <v>0</v>
      </c>
      <c r="AG40" s="135">
        <v>0</v>
      </c>
      <c r="AH40" s="135">
        <v>0</v>
      </c>
      <c r="AI40" s="135">
        <v>0</v>
      </c>
      <c r="AJ40" s="135">
        <v>0</v>
      </c>
      <c r="AK40" s="135">
        <v>0</v>
      </c>
      <c r="AL40" s="135">
        <v>0</v>
      </c>
      <c r="AM40" s="135">
        <v>0</v>
      </c>
      <c r="AN40" s="135">
        <v>0</v>
      </c>
      <c r="AO40" s="135">
        <v>0</v>
      </c>
      <c r="AP40" s="135">
        <v>0</v>
      </c>
      <c r="AQ40" s="135">
        <v>0</v>
      </c>
      <c r="AR40" s="135">
        <v>0</v>
      </c>
      <c r="AT40" s="138"/>
    </row>
    <row r="41" spans="2:46" hidden="1" outlineLevel="1">
      <c r="B41" s="140">
        <v>2018</v>
      </c>
      <c r="C41" s="141">
        <f>'Outgrower Woody C Pool'!C81</f>
        <v>208.55</v>
      </c>
      <c r="F41" s="142">
        <f t="shared" ref="F41:Y41" si="5">$E$16*$C41</f>
        <v>166.84000000000003</v>
      </c>
      <c r="G41" s="142">
        <f t="shared" si="5"/>
        <v>166.84000000000003</v>
      </c>
      <c r="H41" s="142">
        <f t="shared" si="5"/>
        <v>166.84000000000003</v>
      </c>
      <c r="I41" s="142">
        <f t="shared" si="5"/>
        <v>166.84000000000003</v>
      </c>
      <c r="J41" s="142">
        <f t="shared" si="5"/>
        <v>166.84000000000003</v>
      </c>
      <c r="K41" s="142">
        <f t="shared" si="5"/>
        <v>166.84000000000003</v>
      </c>
      <c r="L41" s="142">
        <f t="shared" si="5"/>
        <v>166.84000000000003</v>
      </c>
      <c r="M41" s="142">
        <f t="shared" si="5"/>
        <v>166.84000000000003</v>
      </c>
      <c r="N41" s="142">
        <f t="shared" si="5"/>
        <v>166.84000000000003</v>
      </c>
      <c r="O41" s="142">
        <f t="shared" si="5"/>
        <v>166.84000000000003</v>
      </c>
      <c r="P41" s="142">
        <f t="shared" si="5"/>
        <v>166.84000000000003</v>
      </c>
      <c r="Q41" s="142">
        <f t="shared" si="5"/>
        <v>166.84000000000003</v>
      </c>
      <c r="R41" s="142">
        <f t="shared" si="5"/>
        <v>166.84000000000003</v>
      </c>
      <c r="S41" s="142">
        <f t="shared" si="5"/>
        <v>166.84000000000003</v>
      </c>
      <c r="T41" s="142">
        <f t="shared" si="5"/>
        <v>166.84000000000003</v>
      </c>
      <c r="U41" s="142">
        <f t="shared" si="5"/>
        <v>166.84000000000003</v>
      </c>
      <c r="V41" s="142">
        <f t="shared" si="5"/>
        <v>166.84000000000003</v>
      </c>
      <c r="W41" s="142">
        <f t="shared" si="5"/>
        <v>166.84000000000003</v>
      </c>
      <c r="X41" s="142">
        <f t="shared" si="5"/>
        <v>166.84000000000003</v>
      </c>
      <c r="Y41" s="142">
        <f t="shared" si="5"/>
        <v>166.84000000000003</v>
      </c>
      <c r="Z41" s="135">
        <v>0</v>
      </c>
      <c r="AA41" s="135">
        <v>0</v>
      </c>
      <c r="AB41" s="135">
        <v>0</v>
      </c>
      <c r="AC41" s="135">
        <v>0</v>
      </c>
      <c r="AD41" s="135">
        <v>0</v>
      </c>
      <c r="AE41" s="135">
        <v>0</v>
      </c>
      <c r="AF41" s="135">
        <v>0</v>
      </c>
      <c r="AG41" s="135">
        <v>0</v>
      </c>
      <c r="AH41" s="135">
        <v>0</v>
      </c>
      <c r="AI41" s="135">
        <v>0</v>
      </c>
      <c r="AJ41" s="135">
        <v>0</v>
      </c>
      <c r="AK41" s="135">
        <v>0</v>
      </c>
      <c r="AL41" s="135">
        <v>0</v>
      </c>
      <c r="AM41" s="135">
        <v>0</v>
      </c>
      <c r="AN41" s="135">
        <v>0</v>
      </c>
      <c r="AO41" s="135">
        <v>0</v>
      </c>
      <c r="AP41" s="135">
        <v>0</v>
      </c>
      <c r="AQ41" s="135">
        <v>0</v>
      </c>
      <c r="AR41" s="135">
        <v>0</v>
      </c>
      <c r="AT41" s="138"/>
    </row>
    <row r="42" spans="2:46" hidden="1" outlineLevel="1">
      <c r="B42" s="140">
        <v>2019</v>
      </c>
      <c r="C42" s="141">
        <f>'Outgrower Woody C Pool'!C82</f>
        <v>244.22000000000008</v>
      </c>
      <c r="G42" s="142">
        <f t="shared" ref="G42:Z42" si="6">$E$16*$C42</f>
        <v>195.37600000000009</v>
      </c>
      <c r="H42" s="142">
        <f t="shared" si="6"/>
        <v>195.37600000000009</v>
      </c>
      <c r="I42" s="142">
        <f t="shared" si="6"/>
        <v>195.37600000000009</v>
      </c>
      <c r="J42" s="142">
        <f t="shared" si="6"/>
        <v>195.37600000000009</v>
      </c>
      <c r="K42" s="142">
        <f t="shared" si="6"/>
        <v>195.37600000000009</v>
      </c>
      <c r="L42" s="142">
        <f t="shared" si="6"/>
        <v>195.37600000000009</v>
      </c>
      <c r="M42" s="142">
        <f t="shared" si="6"/>
        <v>195.37600000000009</v>
      </c>
      <c r="N42" s="142">
        <f t="shared" si="6"/>
        <v>195.37600000000009</v>
      </c>
      <c r="O42" s="142">
        <f t="shared" si="6"/>
        <v>195.37600000000009</v>
      </c>
      <c r="P42" s="142">
        <f t="shared" si="6"/>
        <v>195.37600000000009</v>
      </c>
      <c r="Q42" s="142">
        <f t="shared" si="6"/>
        <v>195.37600000000009</v>
      </c>
      <c r="R42" s="142">
        <f t="shared" si="6"/>
        <v>195.37600000000009</v>
      </c>
      <c r="S42" s="142">
        <f t="shared" si="6"/>
        <v>195.37600000000009</v>
      </c>
      <c r="T42" s="142">
        <f t="shared" si="6"/>
        <v>195.37600000000009</v>
      </c>
      <c r="U42" s="142">
        <f t="shared" si="6"/>
        <v>195.37600000000009</v>
      </c>
      <c r="V42" s="142">
        <f t="shared" si="6"/>
        <v>195.37600000000009</v>
      </c>
      <c r="W42" s="142">
        <f t="shared" si="6"/>
        <v>195.37600000000009</v>
      </c>
      <c r="X42" s="142">
        <f t="shared" si="6"/>
        <v>195.37600000000009</v>
      </c>
      <c r="Y42" s="142">
        <f t="shared" si="6"/>
        <v>195.37600000000009</v>
      </c>
      <c r="Z42" s="142">
        <f t="shared" si="6"/>
        <v>195.37600000000009</v>
      </c>
      <c r="AA42" s="135">
        <v>0</v>
      </c>
      <c r="AB42" s="135">
        <v>0</v>
      </c>
      <c r="AC42" s="135">
        <v>0</v>
      </c>
      <c r="AD42" s="135">
        <v>0</v>
      </c>
      <c r="AE42" s="135">
        <v>0</v>
      </c>
      <c r="AF42" s="135">
        <v>0</v>
      </c>
      <c r="AG42" s="135">
        <v>0</v>
      </c>
      <c r="AH42" s="135">
        <v>0</v>
      </c>
      <c r="AI42" s="135">
        <v>0</v>
      </c>
      <c r="AJ42" s="135">
        <v>0</v>
      </c>
      <c r="AK42" s="135">
        <v>0</v>
      </c>
      <c r="AL42" s="135">
        <v>0</v>
      </c>
      <c r="AM42" s="135">
        <v>0</v>
      </c>
      <c r="AN42" s="135">
        <v>0</v>
      </c>
      <c r="AO42" s="135">
        <v>0</v>
      </c>
      <c r="AP42" s="135">
        <v>0</v>
      </c>
      <c r="AQ42" s="135">
        <v>0</v>
      </c>
      <c r="AR42" s="135">
        <v>0</v>
      </c>
      <c r="AT42" s="138"/>
    </row>
    <row r="43" spans="2:46" hidden="1" outlineLevel="1">
      <c r="B43" s="140">
        <v>2020</v>
      </c>
      <c r="C43" s="141">
        <f>'Outgrower Woody C Pool'!C83</f>
        <v>111.17999999999998</v>
      </c>
      <c r="H43" s="142">
        <f t="shared" ref="H43:AA43" si="7">$E$16*$C43</f>
        <v>88.943999999999988</v>
      </c>
      <c r="I43" s="142">
        <f t="shared" si="7"/>
        <v>88.943999999999988</v>
      </c>
      <c r="J43" s="142">
        <f t="shared" si="7"/>
        <v>88.943999999999988</v>
      </c>
      <c r="K43" s="142">
        <f t="shared" si="7"/>
        <v>88.943999999999988</v>
      </c>
      <c r="L43" s="142">
        <f t="shared" si="7"/>
        <v>88.943999999999988</v>
      </c>
      <c r="M43" s="142">
        <f t="shared" si="7"/>
        <v>88.943999999999988</v>
      </c>
      <c r="N43" s="142">
        <f t="shared" si="7"/>
        <v>88.943999999999988</v>
      </c>
      <c r="O43" s="142">
        <f t="shared" si="7"/>
        <v>88.943999999999988</v>
      </c>
      <c r="P43" s="142">
        <f t="shared" si="7"/>
        <v>88.943999999999988</v>
      </c>
      <c r="Q43" s="142">
        <f t="shared" si="7"/>
        <v>88.943999999999988</v>
      </c>
      <c r="R43" s="142">
        <f t="shared" si="7"/>
        <v>88.943999999999988</v>
      </c>
      <c r="S43" s="142">
        <f t="shared" si="7"/>
        <v>88.943999999999988</v>
      </c>
      <c r="T43" s="142">
        <f t="shared" si="7"/>
        <v>88.943999999999988</v>
      </c>
      <c r="U43" s="142">
        <f t="shared" si="7"/>
        <v>88.943999999999988</v>
      </c>
      <c r="V43" s="142">
        <f t="shared" si="7"/>
        <v>88.943999999999988</v>
      </c>
      <c r="W43" s="142">
        <f t="shared" si="7"/>
        <v>88.943999999999988</v>
      </c>
      <c r="X43" s="142">
        <f t="shared" si="7"/>
        <v>88.943999999999988</v>
      </c>
      <c r="Y43" s="142">
        <f t="shared" si="7"/>
        <v>88.943999999999988</v>
      </c>
      <c r="Z43" s="142">
        <f t="shared" si="7"/>
        <v>88.943999999999988</v>
      </c>
      <c r="AA43" s="142">
        <f t="shared" si="7"/>
        <v>88.943999999999988</v>
      </c>
      <c r="AB43" s="135">
        <v>0</v>
      </c>
      <c r="AC43" s="135">
        <v>0</v>
      </c>
      <c r="AD43" s="135">
        <v>0</v>
      </c>
      <c r="AE43" s="135">
        <v>0</v>
      </c>
      <c r="AF43" s="135">
        <v>0</v>
      </c>
      <c r="AG43" s="135">
        <v>0</v>
      </c>
      <c r="AH43" s="135">
        <v>0</v>
      </c>
      <c r="AI43" s="135">
        <v>0</v>
      </c>
      <c r="AJ43" s="135">
        <v>0</v>
      </c>
      <c r="AK43" s="135">
        <v>0</v>
      </c>
      <c r="AL43" s="135">
        <v>0</v>
      </c>
      <c r="AM43" s="135">
        <v>0</v>
      </c>
      <c r="AN43" s="135">
        <v>0</v>
      </c>
      <c r="AO43" s="135">
        <v>0</v>
      </c>
      <c r="AP43" s="135">
        <v>0</v>
      </c>
      <c r="AQ43" s="135">
        <v>0</v>
      </c>
      <c r="AR43" s="135">
        <v>0</v>
      </c>
      <c r="AT43" s="138"/>
    </row>
    <row r="44" spans="2:46" hidden="1" outlineLevel="1">
      <c r="B44" s="140">
        <v>2021</v>
      </c>
      <c r="C44" s="141">
        <f>'Outgrower Woody C Pool'!C84</f>
        <v>143.58999999999997</v>
      </c>
      <c r="I44" s="142">
        <f t="shared" ref="I44:AB44" si="8">$E$16*$C44</f>
        <v>114.87199999999999</v>
      </c>
      <c r="J44" s="142">
        <f t="shared" si="8"/>
        <v>114.87199999999999</v>
      </c>
      <c r="K44" s="142">
        <f t="shared" si="8"/>
        <v>114.87199999999999</v>
      </c>
      <c r="L44" s="142">
        <f t="shared" si="8"/>
        <v>114.87199999999999</v>
      </c>
      <c r="M44" s="142">
        <f t="shared" si="8"/>
        <v>114.87199999999999</v>
      </c>
      <c r="N44" s="142">
        <f t="shared" si="8"/>
        <v>114.87199999999999</v>
      </c>
      <c r="O44" s="142">
        <f t="shared" si="8"/>
        <v>114.87199999999999</v>
      </c>
      <c r="P44" s="142">
        <f t="shared" si="8"/>
        <v>114.87199999999999</v>
      </c>
      <c r="Q44" s="142">
        <f t="shared" si="8"/>
        <v>114.87199999999999</v>
      </c>
      <c r="R44" s="142">
        <f t="shared" si="8"/>
        <v>114.87199999999999</v>
      </c>
      <c r="S44" s="142">
        <f t="shared" si="8"/>
        <v>114.87199999999999</v>
      </c>
      <c r="T44" s="142">
        <f t="shared" si="8"/>
        <v>114.87199999999999</v>
      </c>
      <c r="U44" s="142">
        <f t="shared" si="8"/>
        <v>114.87199999999999</v>
      </c>
      <c r="V44" s="142">
        <f t="shared" si="8"/>
        <v>114.87199999999999</v>
      </c>
      <c r="W44" s="142">
        <f t="shared" si="8"/>
        <v>114.87199999999999</v>
      </c>
      <c r="X44" s="142">
        <f t="shared" si="8"/>
        <v>114.87199999999999</v>
      </c>
      <c r="Y44" s="142">
        <f t="shared" si="8"/>
        <v>114.87199999999999</v>
      </c>
      <c r="Z44" s="142">
        <f t="shared" si="8"/>
        <v>114.87199999999999</v>
      </c>
      <c r="AA44" s="142">
        <f t="shared" si="8"/>
        <v>114.87199999999999</v>
      </c>
      <c r="AB44" s="142">
        <f t="shared" si="8"/>
        <v>114.87199999999999</v>
      </c>
      <c r="AC44" s="135">
        <v>0</v>
      </c>
      <c r="AD44" s="135">
        <v>0</v>
      </c>
      <c r="AE44" s="135">
        <v>0</v>
      </c>
      <c r="AF44" s="135">
        <v>0</v>
      </c>
      <c r="AG44" s="135">
        <v>0</v>
      </c>
      <c r="AH44" s="135">
        <v>0</v>
      </c>
      <c r="AI44" s="135">
        <v>0</v>
      </c>
      <c r="AJ44" s="135">
        <v>0</v>
      </c>
      <c r="AK44" s="135">
        <v>0</v>
      </c>
      <c r="AL44" s="135">
        <v>0</v>
      </c>
      <c r="AM44" s="135">
        <v>0</v>
      </c>
      <c r="AN44" s="135">
        <v>0</v>
      </c>
      <c r="AO44" s="135">
        <v>0</v>
      </c>
      <c r="AP44" s="135">
        <v>0</v>
      </c>
      <c r="AQ44" s="135">
        <v>0</v>
      </c>
      <c r="AR44" s="135">
        <v>0</v>
      </c>
      <c r="AT44" s="138"/>
    </row>
    <row r="45" spans="2:46" hidden="1" outlineLevel="1">
      <c r="B45" s="140">
        <v>2022</v>
      </c>
      <c r="C45" s="141">
        <f>'Outgrower Woody C Pool'!C85</f>
        <v>36.879999999999995</v>
      </c>
      <c r="J45" s="142">
        <f t="shared" ref="J45:AC45" si="9">$E$16*$C45</f>
        <v>29.503999999999998</v>
      </c>
      <c r="K45" s="142">
        <f t="shared" si="9"/>
        <v>29.503999999999998</v>
      </c>
      <c r="L45" s="142">
        <f t="shared" si="9"/>
        <v>29.503999999999998</v>
      </c>
      <c r="M45" s="142">
        <f t="shared" si="9"/>
        <v>29.503999999999998</v>
      </c>
      <c r="N45" s="142">
        <f t="shared" si="9"/>
        <v>29.503999999999998</v>
      </c>
      <c r="O45" s="142">
        <f t="shared" si="9"/>
        <v>29.503999999999998</v>
      </c>
      <c r="P45" s="142">
        <f t="shared" si="9"/>
        <v>29.503999999999998</v>
      </c>
      <c r="Q45" s="142">
        <f t="shared" si="9"/>
        <v>29.503999999999998</v>
      </c>
      <c r="R45" s="142">
        <f t="shared" si="9"/>
        <v>29.503999999999998</v>
      </c>
      <c r="S45" s="142">
        <f t="shared" si="9"/>
        <v>29.503999999999998</v>
      </c>
      <c r="T45" s="142">
        <f t="shared" si="9"/>
        <v>29.503999999999998</v>
      </c>
      <c r="U45" s="142">
        <f t="shared" si="9"/>
        <v>29.503999999999998</v>
      </c>
      <c r="V45" s="142">
        <f t="shared" si="9"/>
        <v>29.503999999999998</v>
      </c>
      <c r="W45" s="142">
        <f t="shared" si="9"/>
        <v>29.503999999999998</v>
      </c>
      <c r="X45" s="142">
        <f t="shared" si="9"/>
        <v>29.503999999999998</v>
      </c>
      <c r="Y45" s="142">
        <f t="shared" si="9"/>
        <v>29.503999999999998</v>
      </c>
      <c r="Z45" s="142">
        <f t="shared" si="9"/>
        <v>29.503999999999998</v>
      </c>
      <c r="AA45" s="142">
        <f t="shared" si="9"/>
        <v>29.503999999999998</v>
      </c>
      <c r="AB45" s="142">
        <f t="shared" si="9"/>
        <v>29.503999999999998</v>
      </c>
      <c r="AC45" s="142">
        <f t="shared" si="9"/>
        <v>29.503999999999998</v>
      </c>
      <c r="AD45" s="135">
        <v>0</v>
      </c>
      <c r="AE45" s="135">
        <v>0</v>
      </c>
      <c r="AF45" s="135">
        <v>0</v>
      </c>
      <c r="AG45" s="135">
        <v>0</v>
      </c>
      <c r="AH45" s="135">
        <v>0</v>
      </c>
      <c r="AI45" s="135">
        <v>0</v>
      </c>
      <c r="AJ45" s="135">
        <v>0</v>
      </c>
      <c r="AK45" s="135">
        <v>0</v>
      </c>
      <c r="AL45" s="135">
        <v>0</v>
      </c>
      <c r="AM45" s="135">
        <v>0</v>
      </c>
      <c r="AN45" s="135">
        <v>0</v>
      </c>
      <c r="AO45" s="135">
        <v>0</v>
      </c>
      <c r="AP45" s="135">
        <v>0</v>
      </c>
      <c r="AQ45" s="135">
        <v>0</v>
      </c>
      <c r="AR45" s="135">
        <v>0</v>
      </c>
      <c r="AT45" s="138"/>
    </row>
    <row r="46" spans="2:46" hidden="1" outlineLevel="1">
      <c r="B46" s="140">
        <v>2023</v>
      </c>
      <c r="C46" s="141">
        <f>'Outgrower Woody C Pool'!C86</f>
        <v>104.38000000000001</v>
      </c>
      <c r="K46" s="142">
        <f t="shared" ref="K46:AD46" si="10">$E$16*$C46</f>
        <v>83.504000000000019</v>
      </c>
      <c r="L46" s="142">
        <f t="shared" si="10"/>
        <v>83.504000000000019</v>
      </c>
      <c r="M46" s="142">
        <f t="shared" si="10"/>
        <v>83.504000000000019</v>
      </c>
      <c r="N46" s="142">
        <f t="shared" si="10"/>
        <v>83.504000000000019</v>
      </c>
      <c r="O46" s="142">
        <f t="shared" si="10"/>
        <v>83.504000000000019</v>
      </c>
      <c r="P46" s="142">
        <f t="shared" si="10"/>
        <v>83.504000000000019</v>
      </c>
      <c r="Q46" s="142">
        <f t="shared" si="10"/>
        <v>83.504000000000019</v>
      </c>
      <c r="R46" s="142">
        <f t="shared" si="10"/>
        <v>83.504000000000019</v>
      </c>
      <c r="S46" s="142">
        <f t="shared" si="10"/>
        <v>83.504000000000019</v>
      </c>
      <c r="T46" s="142">
        <f t="shared" si="10"/>
        <v>83.504000000000019</v>
      </c>
      <c r="U46" s="142">
        <f t="shared" si="10"/>
        <v>83.504000000000019</v>
      </c>
      <c r="V46" s="142">
        <f t="shared" si="10"/>
        <v>83.504000000000019</v>
      </c>
      <c r="W46" s="142">
        <f t="shared" si="10"/>
        <v>83.504000000000019</v>
      </c>
      <c r="X46" s="142">
        <f t="shared" si="10"/>
        <v>83.504000000000019</v>
      </c>
      <c r="Y46" s="142">
        <f t="shared" si="10"/>
        <v>83.504000000000019</v>
      </c>
      <c r="Z46" s="142">
        <f t="shared" si="10"/>
        <v>83.504000000000019</v>
      </c>
      <c r="AA46" s="142">
        <f t="shared" si="10"/>
        <v>83.504000000000019</v>
      </c>
      <c r="AB46" s="142">
        <f t="shared" si="10"/>
        <v>83.504000000000019</v>
      </c>
      <c r="AC46" s="142">
        <f t="shared" si="10"/>
        <v>83.504000000000019</v>
      </c>
      <c r="AD46" s="142">
        <f t="shared" si="10"/>
        <v>83.504000000000019</v>
      </c>
      <c r="AE46" s="135">
        <v>0</v>
      </c>
      <c r="AF46" s="135">
        <v>0</v>
      </c>
      <c r="AG46" s="135">
        <v>0</v>
      </c>
      <c r="AH46" s="135">
        <v>0</v>
      </c>
      <c r="AI46" s="135">
        <v>0</v>
      </c>
      <c r="AJ46" s="135">
        <v>0</v>
      </c>
      <c r="AK46" s="135">
        <v>0</v>
      </c>
      <c r="AL46" s="135">
        <v>0</v>
      </c>
      <c r="AM46" s="135">
        <v>0</v>
      </c>
      <c r="AN46" s="135">
        <v>0</v>
      </c>
      <c r="AO46" s="135">
        <v>0</v>
      </c>
      <c r="AP46" s="135">
        <v>0</v>
      </c>
      <c r="AQ46" s="135">
        <v>0</v>
      </c>
      <c r="AR46" s="135">
        <v>0</v>
      </c>
      <c r="AT46" s="138"/>
    </row>
    <row r="47" spans="2:46" hidden="1" outlineLevel="1">
      <c r="B47" s="140">
        <v>2024</v>
      </c>
      <c r="C47" s="141">
        <f>'Outgrower Woody C Pool'!C87</f>
        <v>39.850000000000016</v>
      </c>
      <c r="L47" s="142">
        <f t="shared" ref="L47:AE47" si="11">$E$16*$C47</f>
        <v>31.880000000000013</v>
      </c>
      <c r="M47" s="142">
        <f t="shared" si="11"/>
        <v>31.880000000000013</v>
      </c>
      <c r="N47" s="142">
        <f t="shared" si="11"/>
        <v>31.880000000000013</v>
      </c>
      <c r="O47" s="142">
        <f t="shared" si="11"/>
        <v>31.880000000000013</v>
      </c>
      <c r="P47" s="142">
        <f t="shared" si="11"/>
        <v>31.880000000000013</v>
      </c>
      <c r="Q47" s="142">
        <f t="shared" si="11"/>
        <v>31.880000000000013</v>
      </c>
      <c r="R47" s="142">
        <f t="shared" si="11"/>
        <v>31.880000000000013</v>
      </c>
      <c r="S47" s="142">
        <f t="shared" si="11"/>
        <v>31.880000000000013</v>
      </c>
      <c r="T47" s="142">
        <f t="shared" si="11"/>
        <v>31.880000000000013</v>
      </c>
      <c r="U47" s="142">
        <f t="shared" si="11"/>
        <v>31.880000000000013</v>
      </c>
      <c r="V47" s="142">
        <f t="shared" si="11"/>
        <v>31.880000000000013</v>
      </c>
      <c r="W47" s="142">
        <f t="shared" si="11"/>
        <v>31.880000000000013</v>
      </c>
      <c r="X47" s="142">
        <f t="shared" si="11"/>
        <v>31.880000000000013</v>
      </c>
      <c r="Y47" s="142">
        <f t="shared" si="11"/>
        <v>31.880000000000013</v>
      </c>
      <c r="Z47" s="142">
        <f t="shared" si="11"/>
        <v>31.880000000000013</v>
      </c>
      <c r="AA47" s="142">
        <f t="shared" si="11"/>
        <v>31.880000000000013</v>
      </c>
      <c r="AB47" s="142">
        <f t="shared" si="11"/>
        <v>31.880000000000013</v>
      </c>
      <c r="AC47" s="142">
        <f t="shared" si="11"/>
        <v>31.880000000000013</v>
      </c>
      <c r="AD47" s="142">
        <f t="shared" si="11"/>
        <v>31.880000000000013</v>
      </c>
      <c r="AE47" s="142">
        <f t="shared" si="11"/>
        <v>31.880000000000013</v>
      </c>
      <c r="AF47" s="135">
        <v>0</v>
      </c>
      <c r="AG47" s="135">
        <v>0</v>
      </c>
      <c r="AH47" s="135">
        <v>0</v>
      </c>
      <c r="AI47" s="135">
        <v>0</v>
      </c>
      <c r="AJ47" s="135">
        <v>0</v>
      </c>
      <c r="AK47" s="135">
        <v>0</v>
      </c>
      <c r="AL47" s="135">
        <v>0</v>
      </c>
      <c r="AM47" s="135">
        <v>0</v>
      </c>
      <c r="AN47" s="135">
        <v>0</v>
      </c>
      <c r="AO47" s="135">
        <v>0</v>
      </c>
      <c r="AP47" s="135">
        <v>0</v>
      </c>
      <c r="AQ47" s="135">
        <v>0</v>
      </c>
      <c r="AR47" s="135">
        <v>0</v>
      </c>
      <c r="AT47" s="138"/>
    </row>
    <row r="48" spans="2:46" hidden="1" outlineLevel="1">
      <c r="B48" s="140">
        <v>2025</v>
      </c>
      <c r="C48" s="141">
        <f>'Outgrower Woody C Pool'!C88</f>
        <v>62.52</v>
      </c>
      <c r="M48" s="142">
        <f t="shared" ref="M48:AF48" si="12">$E$16*$C48</f>
        <v>50.016000000000005</v>
      </c>
      <c r="N48" s="142">
        <f t="shared" si="12"/>
        <v>50.016000000000005</v>
      </c>
      <c r="O48" s="142">
        <f t="shared" si="12"/>
        <v>50.016000000000005</v>
      </c>
      <c r="P48" s="142">
        <f t="shared" si="12"/>
        <v>50.016000000000005</v>
      </c>
      <c r="Q48" s="142">
        <f t="shared" si="12"/>
        <v>50.016000000000005</v>
      </c>
      <c r="R48" s="142">
        <f t="shared" si="12"/>
        <v>50.016000000000005</v>
      </c>
      <c r="S48" s="142">
        <f t="shared" si="12"/>
        <v>50.016000000000005</v>
      </c>
      <c r="T48" s="142">
        <f t="shared" si="12"/>
        <v>50.016000000000005</v>
      </c>
      <c r="U48" s="142">
        <f t="shared" si="12"/>
        <v>50.016000000000005</v>
      </c>
      <c r="V48" s="142">
        <f t="shared" si="12"/>
        <v>50.016000000000005</v>
      </c>
      <c r="W48" s="142">
        <f t="shared" si="12"/>
        <v>50.016000000000005</v>
      </c>
      <c r="X48" s="142">
        <f t="shared" si="12"/>
        <v>50.016000000000005</v>
      </c>
      <c r="Y48" s="142">
        <f t="shared" si="12"/>
        <v>50.016000000000005</v>
      </c>
      <c r="Z48" s="142">
        <f t="shared" si="12"/>
        <v>50.016000000000005</v>
      </c>
      <c r="AA48" s="142">
        <f t="shared" si="12"/>
        <v>50.016000000000005</v>
      </c>
      <c r="AB48" s="142">
        <f t="shared" si="12"/>
        <v>50.016000000000005</v>
      </c>
      <c r="AC48" s="142">
        <f t="shared" si="12"/>
        <v>50.016000000000005</v>
      </c>
      <c r="AD48" s="142">
        <f t="shared" si="12"/>
        <v>50.016000000000005</v>
      </c>
      <c r="AE48" s="142">
        <f t="shared" si="12"/>
        <v>50.016000000000005</v>
      </c>
      <c r="AF48" s="142">
        <f t="shared" si="12"/>
        <v>50.016000000000005</v>
      </c>
      <c r="AG48" s="135">
        <v>0</v>
      </c>
      <c r="AH48" s="135">
        <v>0</v>
      </c>
      <c r="AI48" s="135">
        <v>0</v>
      </c>
      <c r="AJ48" s="135">
        <v>0</v>
      </c>
      <c r="AK48" s="135">
        <v>0</v>
      </c>
      <c r="AL48" s="135">
        <v>0</v>
      </c>
      <c r="AM48" s="135">
        <v>0</v>
      </c>
      <c r="AN48" s="135">
        <v>0</v>
      </c>
      <c r="AO48" s="135">
        <v>0</v>
      </c>
      <c r="AP48" s="135">
        <v>0</v>
      </c>
      <c r="AQ48" s="135">
        <v>0</v>
      </c>
      <c r="AR48" s="135">
        <v>0</v>
      </c>
      <c r="AT48" s="138"/>
    </row>
    <row r="49" spans="2:46" hidden="1" outlineLevel="1">
      <c r="B49" s="140">
        <v>2026</v>
      </c>
      <c r="C49" s="141">
        <f>'Outgrower Woody C Pool'!C89</f>
        <v>300</v>
      </c>
      <c r="N49" s="142">
        <f t="shared" ref="N49:AG49" si="13">$E$16*$C49</f>
        <v>240</v>
      </c>
      <c r="O49" s="142">
        <f t="shared" si="13"/>
        <v>240</v>
      </c>
      <c r="P49" s="142">
        <f t="shared" si="13"/>
        <v>240</v>
      </c>
      <c r="Q49" s="142">
        <f t="shared" si="13"/>
        <v>240</v>
      </c>
      <c r="R49" s="142">
        <f t="shared" si="13"/>
        <v>240</v>
      </c>
      <c r="S49" s="142">
        <f t="shared" si="13"/>
        <v>240</v>
      </c>
      <c r="T49" s="142">
        <f t="shared" si="13"/>
        <v>240</v>
      </c>
      <c r="U49" s="142">
        <f t="shared" si="13"/>
        <v>240</v>
      </c>
      <c r="V49" s="142">
        <f t="shared" si="13"/>
        <v>240</v>
      </c>
      <c r="W49" s="142">
        <f t="shared" si="13"/>
        <v>240</v>
      </c>
      <c r="X49" s="142">
        <f t="shared" si="13"/>
        <v>240</v>
      </c>
      <c r="Y49" s="142">
        <f t="shared" si="13"/>
        <v>240</v>
      </c>
      <c r="Z49" s="142">
        <f t="shared" si="13"/>
        <v>240</v>
      </c>
      <c r="AA49" s="142">
        <f t="shared" si="13"/>
        <v>240</v>
      </c>
      <c r="AB49" s="142">
        <f t="shared" si="13"/>
        <v>240</v>
      </c>
      <c r="AC49" s="142">
        <f t="shared" si="13"/>
        <v>240</v>
      </c>
      <c r="AD49" s="142">
        <f t="shared" si="13"/>
        <v>240</v>
      </c>
      <c r="AE49" s="142">
        <f t="shared" si="13"/>
        <v>240</v>
      </c>
      <c r="AF49" s="142">
        <f t="shared" si="13"/>
        <v>240</v>
      </c>
      <c r="AG49" s="142">
        <f t="shared" si="13"/>
        <v>240</v>
      </c>
      <c r="AH49" s="135">
        <v>0</v>
      </c>
      <c r="AI49" s="135">
        <v>0</v>
      </c>
      <c r="AJ49" s="135">
        <v>0</v>
      </c>
      <c r="AK49" s="135">
        <v>0</v>
      </c>
      <c r="AL49" s="135">
        <v>0</v>
      </c>
      <c r="AM49" s="135">
        <v>0</v>
      </c>
      <c r="AN49" s="135">
        <v>0</v>
      </c>
      <c r="AO49" s="135">
        <v>0</v>
      </c>
      <c r="AP49" s="135">
        <v>0</v>
      </c>
      <c r="AQ49" s="135">
        <v>0</v>
      </c>
      <c r="AR49" s="135">
        <v>0</v>
      </c>
      <c r="AT49" s="138"/>
    </row>
    <row r="50" spans="2:46" hidden="1" outlineLevel="1">
      <c r="B50" s="140">
        <v>2027</v>
      </c>
      <c r="C50" s="141">
        <f>'Outgrower Woody C Pool'!C90</f>
        <v>300</v>
      </c>
      <c r="O50" s="142">
        <f t="shared" ref="O50:AH50" si="14">$E$16*$C50</f>
        <v>240</v>
      </c>
      <c r="P50" s="142">
        <f t="shared" si="14"/>
        <v>240</v>
      </c>
      <c r="Q50" s="142">
        <f t="shared" si="14"/>
        <v>240</v>
      </c>
      <c r="R50" s="142">
        <f t="shared" si="14"/>
        <v>240</v>
      </c>
      <c r="S50" s="142">
        <f t="shared" si="14"/>
        <v>240</v>
      </c>
      <c r="T50" s="142">
        <f t="shared" si="14"/>
        <v>240</v>
      </c>
      <c r="U50" s="142">
        <f t="shared" si="14"/>
        <v>240</v>
      </c>
      <c r="V50" s="142">
        <f t="shared" si="14"/>
        <v>240</v>
      </c>
      <c r="W50" s="142">
        <f t="shared" si="14"/>
        <v>240</v>
      </c>
      <c r="X50" s="142">
        <f t="shared" si="14"/>
        <v>240</v>
      </c>
      <c r="Y50" s="142">
        <f t="shared" si="14"/>
        <v>240</v>
      </c>
      <c r="Z50" s="142">
        <f t="shared" si="14"/>
        <v>240</v>
      </c>
      <c r="AA50" s="142">
        <f t="shared" si="14"/>
        <v>240</v>
      </c>
      <c r="AB50" s="142">
        <f t="shared" si="14"/>
        <v>240</v>
      </c>
      <c r="AC50" s="142">
        <f t="shared" si="14"/>
        <v>240</v>
      </c>
      <c r="AD50" s="142">
        <f t="shared" si="14"/>
        <v>240</v>
      </c>
      <c r="AE50" s="142">
        <f t="shared" si="14"/>
        <v>240</v>
      </c>
      <c r="AF50" s="142">
        <f t="shared" si="14"/>
        <v>240</v>
      </c>
      <c r="AG50" s="142">
        <f t="shared" si="14"/>
        <v>240</v>
      </c>
      <c r="AH50" s="142">
        <f t="shared" si="14"/>
        <v>240</v>
      </c>
      <c r="AI50" s="135">
        <v>0</v>
      </c>
      <c r="AJ50" s="135">
        <v>0</v>
      </c>
      <c r="AK50" s="135">
        <v>0</v>
      </c>
      <c r="AL50" s="135">
        <v>0</v>
      </c>
      <c r="AM50" s="135">
        <v>0</v>
      </c>
      <c r="AN50" s="135">
        <v>0</v>
      </c>
      <c r="AO50" s="135">
        <v>0</v>
      </c>
      <c r="AP50" s="135">
        <v>0</v>
      </c>
      <c r="AQ50" s="135">
        <v>0</v>
      </c>
      <c r="AR50" s="135">
        <v>0</v>
      </c>
      <c r="AT50" s="138"/>
    </row>
    <row r="51" spans="2:46" hidden="1" outlineLevel="1">
      <c r="B51" s="140">
        <v>2028</v>
      </c>
      <c r="C51" s="141">
        <f>'Outgrower Woody C Pool'!C91</f>
        <v>300</v>
      </c>
      <c r="P51" s="142">
        <f t="shared" ref="P51:AI51" si="15">$E$16*$C51</f>
        <v>240</v>
      </c>
      <c r="Q51" s="142">
        <f t="shared" si="15"/>
        <v>240</v>
      </c>
      <c r="R51" s="142">
        <f t="shared" si="15"/>
        <v>240</v>
      </c>
      <c r="S51" s="142">
        <f t="shared" si="15"/>
        <v>240</v>
      </c>
      <c r="T51" s="142">
        <f t="shared" si="15"/>
        <v>240</v>
      </c>
      <c r="U51" s="142">
        <f t="shared" si="15"/>
        <v>240</v>
      </c>
      <c r="V51" s="142">
        <f t="shared" si="15"/>
        <v>240</v>
      </c>
      <c r="W51" s="142">
        <f t="shared" si="15"/>
        <v>240</v>
      </c>
      <c r="X51" s="142">
        <f t="shared" si="15"/>
        <v>240</v>
      </c>
      <c r="Y51" s="142">
        <f t="shared" si="15"/>
        <v>240</v>
      </c>
      <c r="Z51" s="142">
        <f t="shared" si="15"/>
        <v>240</v>
      </c>
      <c r="AA51" s="142">
        <f t="shared" si="15"/>
        <v>240</v>
      </c>
      <c r="AB51" s="142">
        <f t="shared" si="15"/>
        <v>240</v>
      </c>
      <c r="AC51" s="142">
        <f t="shared" si="15"/>
        <v>240</v>
      </c>
      <c r="AD51" s="142">
        <f t="shared" si="15"/>
        <v>240</v>
      </c>
      <c r="AE51" s="142">
        <f t="shared" si="15"/>
        <v>240</v>
      </c>
      <c r="AF51" s="142">
        <f t="shared" si="15"/>
        <v>240</v>
      </c>
      <c r="AG51" s="142">
        <f t="shared" si="15"/>
        <v>240</v>
      </c>
      <c r="AH51" s="142">
        <f t="shared" si="15"/>
        <v>240</v>
      </c>
      <c r="AI51" s="142">
        <f t="shared" si="15"/>
        <v>240</v>
      </c>
      <c r="AJ51" s="135">
        <v>0</v>
      </c>
      <c r="AK51" s="135">
        <v>0</v>
      </c>
      <c r="AL51" s="135">
        <v>0</v>
      </c>
      <c r="AM51" s="135">
        <v>0</v>
      </c>
      <c r="AN51" s="135">
        <v>0</v>
      </c>
      <c r="AO51" s="135">
        <v>0</v>
      </c>
      <c r="AP51" s="135">
        <v>0</v>
      </c>
      <c r="AQ51" s="135">
        <v>0</v>
      </c>
      <c r="AR51" s="135">
        <v>0</v>
      </c>
      <c r="AT51" s="138"/>
    </row>
    <row r="52" spans="2:46" hidden="1" outlineLevel="1">
      <c r="B52" s="140">
        <v>2029</v>
      </c>
      <c r="C52" s="141">
        <f>'Outgrower Woody C Pool'!C92</f>
        <v>300</v>
      </c>
      <c r="Q52" s="142">
        <f t="shared" ref="Q52:AJ52" si="16">$E$16*$C52</f>
        <v>240</v>
      </c>
      <c r="R52" s="142">
        <f t="shared" si="16"/>
        <v>240</v>
      </c>
      <c r="S52" s="142">
        <f t="shared" si="16"/>
        <v>240</v>
      </c>
      <c r="T52" s="142">
        <f t="shared" si="16"/>
        <v>240</v>
      </c>
      <c r="U52" s="142">
        <f t="shared" si="16"/>
        <v>240</v>
      </c>
      <c r="V52" s="142">
        <f t="shared" si="16"/>
        <v>240</v>
      </c>
      <c r="W52" s="142">
        <f t="shared" si="16"/>
        <v>240</v>
      </c>
      <c r="X52" s="142">
        <f t="shared" si="16"/>
        <v>240</v>
      </c>
      <c r="Y52" s="142">
        <f t="shared" si="16"/>
        <v>240</v>
      </c>
      <c r="Z52" s="142">
        <f t="shared" si="16"/>
        <v>240</v>
      </c>
      <c r="AA52" s="142">
        <f t="shared" si="16"/>
        <v>240</v>
      </c>
      <c r="AB52" s="142">
        <f t="shared" si="16"/>
        <v>240</v>
      </c>
      <c r="AC52" s="142">
        <f t="shared" si="16"/>
        <v>240</v>
      </c>
      <c r="AD52" s="142">
        <f t="shared" si="16"/>
        <v>240</v>
      </c>
      <c r="AE52" s="142">
        <f t="shared" si="16"/>
        <v>240</v>
      </c>
      <c r="AF52" s="142">
        <f t="shared" si="16"/>
        <v>240</v>
      </c>
      <c r="AG52" s="142">
        <f t="shared" si="16"/>
        <v>240</v>
      </c>
      <c r="AH52" s="142">
        <f t="shared" si="16"/>
        <v>240</v>
      </c>
      <c r="AI52" s="142">
        <f t="shared" si="16"/>
        <v>240</v>
      </c>
      <c r="AJ52" s="142">
        <f t="shared" si="16"/>
        <v>240</v>
      </c>
      <c r="AK52" s="135">
        <v>0</v>
      </c>
      <c r="AL52" s="135">
        <v>0</v>
      </c>
      <c r="AM52" s="135">
        <v>0</v>
      </c>
      <c r="AN52" s="135">
        <v>0</v>
      </c>
      <c r="AO52" s="135">
        <v>0</v>
      </c>
      <c r="AP52" s="135">
        <v>0</v>
      </c>
      <c r="AQ52" s="135">
        <v>0</v>
      </c>
      <c r="AR52" s="135">
        <v>0</v>
      </c>
      <c r="AT52" s="138"/>
    </row>
    <row r="53" spans="2:46" hidden="1" outlineLevel="1">
      <c r="B53" s="140">
        <v>2030</v>
      </c>
      <c r="C53" s="141">
        <f>'Outgrower Woody C Pool'!C93</f>
        <v>300</v>
      </c>
      <c r="R53" s="142">
        <f t="shared" ref="R53:AK53" si="17">$E$16*$C53</f>
        <v>240</v>
      </c>
      <c r="S53" s="142">
        <f t="shared" si="17"/>
        <v>240</v>
      </c>
      <c r="T53" s="142">
        <f t="shared" si="17"/>
        <v>240</v>
      </c>
      <c r="U53" s="142">
        <f t="shared" si="17"/>
        <v>240</v>
      </c>
      <c r="V53" s="142">
        <f t="shared" si="17"/>
        <v>240</v>
      </c>
      <c r="W53" s="142">
        <f t="shared" si="17"/>
        <v>240</v>
      </c>
      <c r="X53" s="142">
        <f t="shared" si="17"/>
        <v>240</v>
      </c>
      <c r="Y53" s="142">
        <f t="shared" si="17"/>
        <v>240</v>
      </c>
      <c r="Z53" s="142">
        <f t="shared" si="17"/>
        <v>240</v>
      </c>
      <c r="AA53" s="142">
        <f t="shared" si="17"/>
        <v>240</v>
      </c>
      <c r="AB53" s="142">
        <f t="shared" si="17"/>
        <v>240</v>
      </c>
      <c r="AC53" s="142">
        <f t="shared" si="17"/>
        <v>240</v>
      </c>
      <c r="AD53" s="142">
        <f t="shared" si="17"/>
        <v>240</v>
      </c>
      <c r="AE53" s="142">
        <f t="shared" si="17"/>
        <v>240</v>
      </c>
      <c r="AF53" s="142">
        <f t="shared" si="17"/>
        <v>240</v>
      </c>
      <c r="AG53" s="142">
        <f t="shared" si="17"/>
        <v>240</v>
      </c>
      <c r="AH53" s="142">
        <f t="shared" si="17"/>
        <v>240</v>
      </c>
      <c r="AI53" s="142">
        <f t="shared" si="17"/>
        <v>240</v>
      </c>
      <c r="AJ53" s="142">
        <f t="shared" si="17"/>
        <v>240</v>
      </c>
      <c r="AK53" s="142">
        <f t="shared" si="17"/>
        <v>240</v>
      </c>
      <c r="AL53" s="135">
        <v>0</v>
      </c>
      <c r="AM53" s="135">
        <v>0</v>
      </c>
      <c r="AN53" s="135">
        <v>0</v>
      </c>
      <c r="AO53" s="135">
        <v>0</v>
      </c>
      <c r="AP53" s="135">
        <v>0</v>
      </c>
      <c r="AQ53" s="135">
        <v>0</v>
      </c>
      <c r="AR53" s="135">
        <v>0</v>
      </c>
      <c r="AT53" s="138"/>
    </row>
    <row r="54" spans="2:46" hidden="1" outlineLevel="1">
      <c r="B54" s="140">
        <v>2031</v>
      </c>
      <c r="C54" s="141">
        <f>'Outgrower Woody C Pool'!C94</f>
        <v>300</v>
      </c>
      <c r="S54" s="142">
        <f t="shared" ref="S54:AL54" si="18">$E$16*$C54</f>
        <v>240</v>
      </c>
      <c r="T54" s="142">
        <f t="shared" si="18"/>
        <v>240</v>
      </c>
      <c r="U54" s="142">
        <f t="shared" si="18"/>
        <v>240</v>
      </c>
      <c r="V54" s="142">
        <f t="shared" si="18"/>
        <v>240</v>
      </c>
      <c r="W54" s="142">
        <f t="shared" si="18"/>
        <v>240</v>
      </c>
      <c r="X54" s="142">
        <f t="shared" si="18"/>
        <v>240</v>
      </c>
      <c r="Y54" s="142">
        <f t="shared" si="18"/>
        <v>240</v>
      </c>
      <c r="Z54" s="142">
        <f t="shared" si="18"/>
        <v>240</v>
      </c>
      <c r="AA54" s="142">
        <f t="shared" si="18"/>
        <v>240</v>
      </c>
      <c r="AB54" s="142">
        <f t="shared" si="18"/>
        <v>240</v>
      </c>
      <c r="AC54" s="142">
        <f t="shared" si="18"/>
        <v>240</v>
      </c>
      <c r="AD54" s="142">
        <f t="shared" si="18"/>
        <v>240</v>
      </c>
      <c r="AE54" s="142">
        <f t="shared" si="18"/>
        <v>240</v>
      </c>
      <c r="AF54" s="142">
        <f t="shared" si="18"/>
        <v>240</v>
      </c>
      <c r="AG54" s="142">
        <f t="shared" si="18"/>
        <v>240</v>
      </c>
      <c r="AH54" s="142">
        <f t="shared" si="18"/>
        <v>240</v>
      </c>
      <c r="AI54" s="142">
        <f t="shared" si="18"/>
        <v>240</v>
      </c>
      <c r="AJ54" s="142">
        <f t="shared" si="18"/>
        <v>240</v>
      </c>
      <c r="AK54" s="142">
        <f t="shared" si="18"/>
        <v>240</v>
      </c>
      <c r="AL54" s="142">
        <f t="shared" si="18"/>
        <v>240</v>
      </c>
      <c r="AM54" s="135">
        <v>0</v>
      </c>
      <c r="AN54" s="135">
        <v>0</v>
      </c>
      <c r="AO54" s="135">
        <v>0</v>
      </c>
      <c r="AP54" s="135">
        <v>0</v>
      </c>
      <c r="AQ54" s="135">
        <v>0</v>
      </c>
      <c r="AR54" s="135">
        <v>0</v>
      </c>
      <c r="AT54" s="138"/>
    </row>
    <row r="55" spans="2:46" hidden="1" outlineLevel="1">
      <c r="B55" s="140">
        <v>2032</v>
      </c>
      <c r="C55" s="141">
        <f>'Outgrower Woody C Pool'!C95</f>
        <v>300</v>
      </c>
      <c r="S55" s="142"/>
      <c r="T55" s="142">
        <f t="shared" ref="T55:AM55" si="19">$E$16*$C55</f>
        <v>240</v>
      </c>
      <c r="U55" s="142">
        <f t="shared" si="19"/>
        <v>240</v>
      </c>
      <c r="V55" s="142">
        <f t="shared" si="19"/>
        <v>240</v>
      </c>
      <c r="W55" s="142">
        <f t="shared" si="19"/>
        <v>240</v>
      </c>
      <c r="X55" s="142">
        <f t="shared" si="19"/>
        <v>240</v>
      </c>
      <c r="Y55" s="142">
        <f t="shared" si="19"/>
        <v>240</v>
      </c>
      <c r="Z55" s="142">
        <f t="shared" si="19"/>
        <v>240</v>
      </c>
      <c r="AA55" s="142">
        <f t="shared" si="19"/>
        <v>240</v>
      </c>
      <c r="AB55" s="142">
        <f t="shared" si="19"/>
        <v>240</v>
      </c>
      <c r="AC55" s="142">
        <f t="shared" si="19"/>
        <v>240</v>
      </c>
      <c r="AD55" s="142">
        <f t="shared" si="19"/>
        <v>240</v>
      </c>
      <c r="AE55" s="142">
        <f t="shared" si="19"/>
        <v>240</v>
      </c>
      <c r="AF55" s="142">
        <f t="shared" si="19"/>
        <v>240</v>
      </c>
      <c r="AG55" s="142">
        <f t="shared" si="19"/>
        <v>240</v>
      </c>
      <c r="AH55" s="142">
        <f t="shared" si="19"/>
        <v>240</v>
      </c>
      <c r="AI55" s="142">
        <f t="shared" si="19"/>
        <v>240</v>
      </c>
      <c r="AJ55" s="142">
        <f t="shared" si="19"/>
        <v>240</v>
      </c>
      <c r="AK55" s="142">
        <f t="shared" si="19"/>
        <v>240</v>
      </c>
      <c r="AL55" s="142">
        <f t="shared" si="19"/>
        <v>240</v>
      </c>
      <c r="AM55" s="142">
        <f t="shared" si="19"/>
        <v>240</v>
      </c>
      <c r="AT55" s="138"/>
    </row>
    <row r="56" spans="2:46" hidden="1" outlineLevel="1">
      <c r="B56" s="140">
        <v>2033</v>
      </c>
      <c r="C56" s="141">
        <f>'Outgrower Woody C Pool'!C96</f>
        <v>300</v>
      </c>
      <c r="S56" s="142"/>
      <c r="T56" s="142"/>
      <c r="U56" s="142">
        <f t="shared" ref="U56:AN56" si="20">$E$16*$C56</f>
        <v>240</v>
      </c>
      <c r="V56" s="142">
        <f t="shared" si="20"/>
        <v>240</v>
      </c>
      <c r="W56" s="142">
        <f t="shared" si="20"/>
        <v>240</v>
      </c>
      <c r="X56" s="142">
        <f t="shared" si="20"/>
        <v>240</v>
      </c>
      <c r="Y56" s="142">
        <f t="shared" si="20"/>
        <v>240</v>
      </c>
      <c r="Z56" s="142">
        <f t="shared" si="20"/>
        <v>240</v>
      </c>
      <c r="AA56" s="142">
        <f t="shared" si="20"/>
        <v>240</v>
      </c>
      <c r="AB56" s="142">
        <f t="shared" si="20"/>
        <v>240</v>
      </c>
      <c r="AC56" s="142">
        <f t="shared" si="20"/>
        <v>240</v>
      </c>
      <c r="AD56" s="142">
        <f t="shared" si="20"/>
        <v>240</v>
      </c>
      <c r="AE56" s="142">
        <f t="shared" si="20"/>
        <v>240</v>
      </c>
      <c r="AF56" s="142">
        <f t="shared" si="20"/>
        <v>240</v>
      </c>
      <c r="AG56" s="142">
        <f t="shared" si="20"/>
        <v>240</v>
      </c>
      <c r="AH56" s="142">
        <f t="shared" si="20"/>
        <v>240</v>
      </c>
      <c r="AI56" s="142">
        <f t="shared" si="20"/>
        <v>240</v>
      </c>
      <c r="AJ56" s="142">
        <f t="shared" si="20"/>
        <v>240</v>
      </c>
      <c r="AK56" s="142">
        <f t="shared" si="20"/>
        <v>240</v>
      </c>
      <c r="AL56" s="142">
        <f t="shared" si="20"/>
        <v>240</v>
      </c>
      <c r="AM56" s="142">
        <f t="shared" si="20"/>
        <v>240</v>
      </c>
      <c r="AN56" s="142">
        <f t="shared" si="20"/>
        <v>240</v>
      </c>
      <c r="AT56" s="138"/>
    </row>
    <row r="57" spans="2:46" hidden="1" outlineLevel="1">
      <c r="B57" s="140">
        <v>2034</v>
      </c>
      <c r="C57" s="141">
        <f>'Outgrower Woody C Pool'!C97</f>
        <v>300</v>
      </c>
      <c r="S57" s="142"/>
      <c r="T57" s="142"/>
      <c r="U57" s="142"/>
      <c r="V57" s="142">
        <f t="shared" ref="V57:AO57" si="21">$E$16*$C57</f>
        <v>240</v>
      </c>
      <c r="W57" s="142">
        <f t="shared" si="21"/>
        <v>240</v>
      </c>
      <c r="X57" s="142">
        <f t="shared" si="21"/>
        <v>240</v>
      </c>
      <c r="Y57" s="142">
        <f t="shared" si="21"/>
        <v>240</v>
      </c>
      <c r="Z57" s="142">
        <f t="shared" si="21"/>
        <v>240</v>
      </c>
      <c r="AA57" s="142">
        <f t="shared" si="21"/>
        <v>240</v>
      </c>
      <c r="AB57" s="142">
        <f t="shared" si="21"/>
        <v>240</v>
      </c>
      <c r="AC57" s="142">
        <f t="shared" si="21"/>
        <v>240</v>
      </c>
      <c r="AD57" s="142">
        <f t="shared" si="21"/>
        <v>240</v>
      </c>
      <c r="AE57" s="142">
        <f t="shared" si="21"/>
        <v>240</v>
      </c>
      <c r="AF57" s="142">
        <f t="shared" si="21"/>
        <v>240</v>
      </c>
      <c r="AG57" s="142">
        <f t="shared" si="21"/>
        <v>240</v>
      </c>
      <c r="AH57" s="142">
        <f t="shared" si="21"/>
        <v>240</v>
      </c>
      <c r="AI57" s="142">
        <f t="shared" si="21"/>
        <v>240</v>
      </c>
      <c r="AJ57" s="142">
        <f t="shared" si="21"/>
        <v>240</v>
      </c>
      <c r="AK57" s="142">
        <f t="shared" si="21"/>
        <v>240</v>
      </c>
      <c r="AL57" s="142">
        <f t="shared" si="21"/>
        <v>240</v>
      </c>
      <c r="AM57" s="142">
        <f t="shared" si="21"/>
        <v>240</v>
      </c>
      <c r="AN57" s="142">
        <f t="shared" si="21"/>
        <v>240</v>
      </c>
      <c r="AO57" s="142">
        <f t="shared" si="21"/>
        <v>240</v>
      </c>
      <c r="AT57" s="138"/>
    </row>
    <row r="58" spans="2:46" hidden="1" outlineLevel="1">
      <c r="B58" s="140">
        <v>2035</v>
      </c>
      <c r="C58" s="141">
        <f>'Outgrower Woody C Pool'!C98</f>
        <v>300</v>
      </c>
      <c r="S58" s="142"/>
      <c r="T58" s="142"/>
      <c r="U58" s="142"/>
      <c r="V58" s="142"/>
      <c r="W58" s="142">
        <f t="shared" ref="W58:AP58" si="22">$E$16*$C58</f>
        <v>240</v>
      </c>
      <c r="X58" s="142">
        <f t="shared" si="22"/>
        <v>240</v>
      </c>
      <c r="Y58" s="142">
        <f t="shared" si="22"/>
        <v>240</v>
      </c>
      <c r="Z58" s="142">
        <f t="shared" si="22"/>
        <v>240</v>
      </c>
      <c r="AA58" s="142">
        <f t="shared" si="22"/>
        <v>240</v>
      </c>
      <c r="AB58" s="142">
        <f t="shared" si="22"/>
        <v>240</v>
      </c>
      <c r="AC58" s="142">
        <f t="shared" si="22"/>
        <v>240</v>
      </c>
      <c r="AD58" s="142">
        <f t="shared" si="22"/>
        <v>240</v>
      </c>
      <c r="AE58" s="142">
        <f t="shared" si="22"/>
        <v>240</v>
      </c>
      <c r="AF58" s="142">
        <f t="shared" si="22"/>
        <v>240</v>
      </c>
      <c r="AG58" s="142">
        <f t="shared" si="22"/>
        <v>240</v>
      </c>
      <c r="AH58" s="142">
        <f t="shared" si="22"/>
        <v>240</v>
      </c>
      <c r="AI58" s="142">
        <f t="shared" si="22"/>
        <v>240</v>
      </c>
      <c r="AJ58" s="142">
        <f t="shared" si="22"/>
        <v>240</v>
      </c>
      <c r="AK58" s="142">
        <f t="shared" si="22"/>
        <v>240</v>
      </c>
      <c r="AL58" s="142">
        <f t="shared" si="22"/>
        <v>240</v>
      </c>
      <c r="AM58" s="142">
        <f t="shared" si="22"/>
        <v>240</v>
      </c>
      <c r="AN58" s="142">
        <f t="shared" si="22"/>
        <v>240</v>
      </c>
      <c r="AO58" s="142">
        <f t="shared" si="22"/>
        <v>240</v>
      </c>
      <c r="AP58" s="142">
        <f t="shared" si="22"/>
        <v>240</v>
      </c>
      <c r="AT58" s="138"/>
    </row>
    <row r="59" spans="2:46" hidden="1" outlineLevel="1">
      <c r="B59" s="140">
        <v>2036</v>
      </c>
      <c r="C59" s="141">
        <f>'Outgrower Woody C Pool'!C99</f>
        <v>300</v>
      </c>
      <c r="S59" s="142"/>
      <c r="T59" s="142"/>
      <c r="U59" s="142"/>
      <c r="V59" s="142"/>
      <c r="W59" s="142"/>
      <c r="X59" s="142">
        <f t="shared" ref="X59:AQ59" si="23">$E$16*$C59</f>
        <v>240</v>
      </c>
      <c r="Y59" s="142">
        <f t="shared" si="23"/>
        <v>240</v>
      </c>
      <c r="Z59" s="142">
        <f t="shared" si="23"/>
        <v>240</v>
      </c>
      <c r="AA59" s="142">
        <f t="shared" si="23"/>
        <v>240</v>
      </c>
      <c r="AB59" s="142">
        <f t="shared" si="23"/>
        <v>240</v>
      </c>
      <c r="AC59" s="142">
        <f t="shared" si="23"/>
        <v>240</v>
      </c>
      <c r="AD59" s="142">
        <f t="shared" si="23"/>
        <v>240</v>
      </c>
      <c r="AE59" s="142">
        <f t="shared" si="23"/>
        <v>240</v>
      </c>
      <c r="AF59" s="142">
        <f t="shared" si="23"/>
        <v>240</v>
      </c>
      <c r="AG59" s="142">
        <f t="shared" si="23"/>
        <v>240</v>
      </c>
      <c r="AH59" s="142">
        <f t="shared" si="23"/>
        <v>240</v>
      </c>
      <c r="AI59" s="142">
        <f t="shared" si="23"/>
        <v>240</v>
      </c>
      <c r="AJ59" s="142">
        <f t="shared" si="23"/>
        <v>240</v>
      </c>
      <c r="AK59" s="142">
        <f t="shared" si="23"/>
        <v>240</v>
      </c>
      <c r="AL59" s="142">
        <f t="shared" si="23"/>
        <v>240</v>
      </c>
      <c r="AM59" s="142">
        <f t="shared" si="23"/>
        <v>240</v>
      </c>
      <c r="AN59" s="142">
        <f t="shared" si="23"/>
        <v>240</v>
      </c>
      <c r="AO59" s="142">
        <f t="shared" si="23"/>
        <v>240</v>
      </c>
      <c r="AP59" s="142">
        <f t="shared" si="23"/>
        <v>240</v>
      </c>
      <c r="AQ59" s="142">
        <f t="shared" si="23"/>
        <v>240</v>
      </c>
      <c r="AT59" s="138"/>
    </row>
    <row r="60" spans="2:46" hidden="1" outlineLevel="1">
      <c r="B60" s="140">
        <v>2037</v>
      </c>
      <c r="C60" s="141">
        <f>'Outgrower Woody C Pool'!C100</f>
        <v>300</v>
      </c>
      <c r="S60" s="142"/>
      <c r="T60" s="142"/>
      <c r="U60" s="142"/>
      <c r="V60" s="142"/>
      <c r="W60" s="142"/>
      <c r="X60" s="142"/>
      <c r="Y60" s="142">
        <f t="shared" ref="Y60:AR60" si="24">$E$16*$C60</f>
        <v>240</v>
      </c>
      <c r="Z60" s="142">
        <f t="shared" si="24"/>
        <v>240</v>
      </c>
      <c r="AA60" s="142">
        <f t="shared" si="24"/>
        <v>240</v>
      </c>
      <c r="AB60" s="142">
        <f t="shared" si="24"/>
        <v>240</v>
      </c>
      <c r="AC60" s="142">
        <f t="shared" si="24"/>
        <v>240</v>
      </c>
      <c r="AD60" s="142">
        <f t="shared" si="24"/>
        <v>240</v>
      </c>
      <c r="AE60" s="142">
        <f t="shared" si="24"/>
        <v>240</v>
      </c>
      <c r="AF60" s="142">
        <f t="shared" si="24"/>
        <v>240</v>
      </c>
      <c r="AG60" s="142">
        <f t="shared" si="24"/>
        <v>240</v>
      </c>
      <c r="AH60" s="142">
        <f t="shared" si="24"/>
        <v>240</v>
      </c>
      <c r="AI60" s="142">
        <f t="shared" si="24"/>
        <v>240</v>
      </c>
      <c r="AJ60" s="142">
        <f t="shared" si="24"/>
        <v>240</v>
      </c>
      <c r="AK60" s="142">
        <f t="shared" si="24"/>
        <v>240</v>
      </c>
      <c r="AL60" s="142">
        <f t="shared" si="24"/>
        <v>240</v>
      </c>
      <c r="AM60" s="142">
        <f t="shared" si="24"/>
        <v>240</v>
      </c>
      <c r="AN60" s="142">
        <f t="shared" si="24"/>
        <v>240</v>
      </c>
      <c r="AO60" s="142">
        <f t="shared" si="24"/>
        <v>240</v>
      </c>
      <c r="AP60" s="142">
        <f t="shared" si="24"/>
        <v>240</v>
      </c>
      <c r="AQ60" s="142">
        <f t="shared" si="24"/>
        <v>240</v>
      </c>
      <c r="AR60" s="142">
        <f t="shared" si="24"/>
        <v>240</v>
      </c>
      <c r="AT60" s="138"/>
    </row>
    <row r="61" spans="2:46" hidden="1" outlineLevel="1">
      <c r="B61" s="140">
        <v>2038</v>
      </c>
      <c r="C61" s="141">
        <f>'Outgrower Woody C Pool'!C101</f>
        <v>300</v>
      </c>
      <c r="S61" s="142"/>
      <c r="T61" s="142"/>
      <c r="U61" s="142"/>
      <c r="V61" s="142"/>
      <c r="W61" s="142"/>
      <c r="X61" s="142"/>
      <c r="Y61" s="142"/>
      <c r="Z61" s="142">
        <f t="shared" ref="Z61:AR61" si="25">$E$16*$C61</f>
        <v>240</v>
      </c>
      <c r="AA61" s="142">
        <f t="shared" si="25"/>
        <v>240</v>
      </c>
      <c r="AB61" s="142">
        <f t="shared" si="25"/>
        <v>240</v>
      </c>
      <c r="AC61" s="142">
        <f t="shared" si="25"/>
        <v>240</v>
      </c>
      <c r="AD61" s="142">
        <f t="shared" si="25"/>
        <v>240</v>
      </c>
      <c r="AE61" s="142">
        <f t="shared" si="25"/>
        <v>240</v>
      </c>
      <c r="AF61" s="142">
        <f t="shared" si="25"/>
        <v>240</v>
      </c>
      <c r="AG61" s="142">
        <f t="shared" si="25"/>
        <v>240</v>
      </c>
      <c r="AH61" s="142">
        <f t="shared" si="25"/>
        <v>240</v>
      </c>
      <c r="AI61" s="142">
        <f t="shared" si="25"/>
        <v>240</v>
      </c>
      <c r="AJ61" s="142">
        <f t="shared" si="25"/>
        <v>240</v>
      </c>
      <c r="AK61" s="142">
        <f t="shared" si="25"/>
        <v>240</v>
      </c>
      <c r="AL61" s="142">
        <f t="shared" si="25"/>
        <v>240</v>
      </c>
      <c r="AM61" s="142">
        <f t="shared" si="25"/>
        <v>240</v>
      </c>
      <c r="AN61" s="142">
        <f t="shared" si="25"/>
        <v>240</v>
      </c>
      <c r="AO61" s="142">
        <f t="shared" si="25"/>
        <v>240</v>
      </c>
      <c r="AP61" s="142">
        <f t="shared" si="25"/>
        <v>240</v>
      </c>
      <c r="AQ61" s="142">
        <f t="shared" si="25"/>
        <v>240</v>
      </c>
      <c r="AR61" s="142">
        <f t="shared" si="25"/>
        <v>240</v>
      </c>
      <c r="AT61" s="138"/>
    </row>
    <row r="62" spans="2:46" hidden="1" outlineLevel="1">
      <c r="B62" s="140">
        <v>2039</v>
      </c>
      <c r="C62" s="141">
        <f>'Outgrower Woody C Pool'!C102</f>
        <v>300</v>
      </c>
      <c r="S62" s="142"/>
      <c r="T62" s="142"/>
      <c r="U62" s="142"/>
      <c r="V62" s="142"/>
      <c r="W62" s="142"/>
      <c r="X62" s="142"/>
      <c r="Y62" s="142"/>
      <c r="Z62" s="142"/>
      <c r="AA62" s="142">
        <f t="shared" ref="AA62:AR62" si="26">$E$16*$C62</f>
        <v>240</v>
      </c>
      <c r="AB62" s="142">
        <f t="shared" si="26"/>
        <v>240</v>
      </c>
      <c r="AC62" s="142">
        <f t="shared" si="26"/>
        <v>240</v>
      </c>
      <c r="AD62" s="142">
        <f t="shared" si="26"/>
        <v>240</v>
      </c>
      <c r="AE62" s="142">
        <f t="shared" si="26"/>
        <v>240</v>
      </c>
      <c r="AF62" s="142">
        <f t="shared" si="26"/>
        <v>240</v>
      </c>
      <c r="AG62" s="142">
        <f t="shared" si="26"/>
        <v>240</v>
      </c>
      <c r="AH62" s="142">
        <f t="shared" si="26"/>
        <v>240</v>
      </c>
      <c r="AI62" s="142">
        <f t="shared" si="26"/>
        <v>240</v>
      </c>
      <c r="AJ62" s="142">
        <f t="shared" si="26"/>
        <v>240</v>
      </c>
      <c r="AK62" s="142">
        <f t="shared" si="26"/>
        <v>240</v>
      </c>
      <c r="AL62" s="142">
        <f t="shared" si="26"/>
        <v>240</v>
      </c>
      <c r="AM62" s="142">
        <f t="shared" si="26"/>
        <v>240</v>
      </c>
      <c r="AN62" s="142">
        <f t="shared" si="26"/>
        <v>240</v>
      </c>
      <c r="AO62" s="142">
        <f t="shared" si="26"/>
        <v>240</v>
      </c>
      <c r="AP62" s="142">
        <f t="shared" si="26"/>
        <v>240</v>
      </c>
      <c r="AQ62" s="142">
        <f t="shared" si="26"/>
        <v>240</v>
      </c>
      <c r="AR62" s="142">
        <f t="shared" si="26"/>
        <v>240</v>
      </c>
      <c r="AT62" s="138"/>
    </row>
    <row r="63" spans="2:46" hidden="1" outlineLevel="1">
      <c r="B63" s="140">
        <v>2040</v>
      </c>
      <c r="C63" s="141">
        <f>'Outgrower Woody C Pool'!C103</f>
        <v>300</v>
      </c>
      <c r="S63" s="142"/>
      <c r="T63" s="142"/>
      <c r="U63" s="142"/>
      <c r="V63" s="142"/>
      <c r="W63" s="142"/>
      <c r="X63" s="142"/>
      <c r="Y63" s="142"/>
      <c r="Z63" s="142"/>
      <c r="AA63" s="142"/>
      <c r="AB63" s="142">
        <f t="shared" ref="AB63:AR63" si="27">$E$16*$C63</f>
        <v>240</v>
      </c>
      <c r="AC63" s="142">
        <f t="shared" si="27"/>
        <v>240</v>
      </c>
      <c r="AD63" s="142">
        <f t="shared" si="27"/>
        <v>240</v>
      </c>
      <c r="AE63" s="142">
        <f t="shared" si="27"/>
        <v>240</v>
      </c>
      <c r="AF63" s="142">
        <f t="shared" si="27"/>
        <v>240</v>
      </c>
      <c r="AG63" s="142">
        <f t="shared" si="27"/>
        <v>240</v>
      </c>
      <c r="AH63" s="142">
        <f t="shared" si="27"/>
        <v>240</v>
      </c>
      <c r="AI63" s="142">
        <f t="shared" si="27"/>
        <v>240</v>
      </c>
      <c r="AJ63" s="142">
        <f t="shared" si="27"/>
        <v>240</v>
      </c>
      <c r="AK63" s="142">
        <f t="shared" si="27"/>
        <v>240</v>
      </c>
      <c r="AL63" s="142">
        <f t="shared" si="27"/>
        <v>240</v>
      </c>
      <c r="AM63" s="142">
        <f t="shared" si="27"/>
        <v>240</v>
      </c>
      <c r="AN63" s="142">
        <f t="shared" si="27"/>
        <v>240</v>
      </c>
      <c r="AO63" s="142">
        <f t="shared" si="27"/>
        <v>240</v>
      </c>
      <c r="AP63" s="142">
        <f t="shared" si="27"/>
        <v>240</v>
      </c>
      <c r="AQ63" s="142">
        <f t="shared" si="27"/>
        <v>240</v>
      </c>
      <c r="AR63" s="142">
        <f t="shared" si="27"/>
        <v>240</v>
      </c>
      <c r="AT63" s="138"/>
    </row>
    <row r="64" spans="2:46" hidden="1" outlineLevel="1">
      <c r="B64" s="140">
        <v>2041</v>
      </c>
      <c r="C64" s="141">
        <f>'Outgrower Woody C Pool'!C104</f>
        <v>300</v>
      </c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>
        <f t="shared" ref="AC64:AR64" si="28">$E$16*$C64</f>
        <v>240</v>
      </c>
      <c r="AD64" s="142">
        <f t="shared" si="28"/>
        <v>240</v>
      </c>
      <c r="AE64" s="142">
        <f t="shared" si="28"/>
        <v>240</v>
      </c>
      <c r="AF64" s="142">
        <f t="shared" si="28"/>
        <v>240</v>
      </c>
      <c r="AG64" s="142">
        <f t="shared" si="28"/>
        <v>240</v>
      </c>
      <c r="AH64" s="142">
        <f t="shared" si="28"/>
        <v>240</v>
      </c>
      <c r="AI64" s="142">
        <f t="shared" si="28"/>
        <v>240</v>
      </c>
      <c r="AJ64" s="142">
        <f t="shared" si="28"/>
        <v>240</v>
      </c>
      <c r="AK64" s="142">
        <f t="shared" si="28"/>
        <v>240</v>
      </c>
      <c r="AL64" s="142">
        <f t="shared" si="28"/>
        <v>240</v>
      </c>
      <c r="AM64" s="142">
        <f t="shared" si="28"/>
        <v>240</v>
      </c>
      <c r="AN64" s="142">
        <f t="shared" si="28"/>
        <v>240</v>
      </c>
      <c r="AO64" s="142">
        <f t="shared" si="28"/>
        <v>240</v>
      </c>
      <c r="AP64" s="142">
        <f t="shared" si="28"/>
        <v>240</v>
      </c>
      <c r="AQ64" s="142">
        <f t="shared" si="28"/>
        <v>240</v>
      </c>
      <c r="AR64" s="142">
        <f t="shared" si="28"/>
        <v>240</v>
      </c>
      <c r="AT64" s="138"/>
    </row>
    <row r="65" spans="2:46" hidden="1" outlineLevel="1">
      <c r="B65" s="140">
        <v>2042</v>
      </c>
      <c r="C65" s="141">
        <f>'Outgrower Woody C Pool'!C105</f>
        <v>300</v>
      </c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>
        <f t="shared" ref="AD65:AR65" si="29">$E$16*$C65</f>
        <v>240</v>
      </c>
      <c r="AE65" s="142">
        <f t="shared" si="29"/>
        <v>240</v>
      </c>
      <c r="AF65" s="142">
        <f t="shared" si="29"/>
        <v>240</v>
      </c>
      <c r="AG65" s="142">
        <f t="shared" si="29"/>
        <v>240</v>
      </c>
      <c r="AH65" s="142">
        <f t="shared" si="29"/>
        <v>240</v>
      </c>
      <c r="AI65" s="142">
        <f t="shared" si="29"/>
        <v>240</v>
      </c>
      <c r="AJ65" s="142">
        <f t="shared" si="29"/>
        <v>240</v>
      </c>
      <c r="AK65" s="142">
        <f t="shared" si="29"/>
        <v>240</v>
      </c>
      <c r="AL65" s="142">
        <f t="shared" si="29"/>
        <v>240</v>
      </c>
      <c r="AM65" s="142">
        <f t="shared" si="29"/>
        <v>240</v>
      </c>
      <c r="AN65" s="142">
        <f t="shared" si="29"/>
        <v>240</v>
      </c>
      <c r="AO65" s="142">
        <f t="shared" si="29"/>
        <v>240</v>
      </c>
      <c r="AP65" s="142">
        <f t="shared" si="29"/>
        <v>240</v>
      </c>
      <c r="AQ65" s="142">
        <f t="shared" si="29"/>
        <v>240</v>
      </c>
      <c r="AR65" s="142">
        <f t="shared" si="29"/>
        <v>240</v>
      </c>
      <c r="AT65" s="138"/>
    </row>
    <row r="66" spans="2:46" hidden="1" outlineLevel="1">
      <c r="B66" s="140">
        <v>2043</v>
      </c>
      <c r="C66" s="141">
        <f>'Outgrower Woody C Pool'!C106</f>
        <v>300</v>
      </c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>
        <f t="shared" ref="AE66:AR66" si="30">$E$16*$C66</f>
        <v>240</v>
      </c>
      <c r="AF66" s="142">
        <f t="shared" si="30"/>
        <v>240</v>
      </c>
      <c r="AG66" s="142">
        <f t="shared" si="30"/>
        <v>240</v>
      </c>
      <c r="AH66" s="142">
        <f t="shared" si="30"/>
        <v>240</v>
      </c>
      <c r="AI66" s="142">
        <f t="shared" si="30"/>
        <v>240</v>
      </c>
      <c r="AJ66" s="142">
        <f t="shared" si="30"/>
        <v>240</v>
      </c>
      <c r="AK66" s="142">
        <f t="shared" si="30"/>
        <v>240</v>
      </c>
      <c r="AL66" s="142">
        <f t="shared" si="30"/>
        <v>240</v>
      </c>
      <c r="AM66" s="142">
        <f t="shared" si="30"/>
        <v>240</v>
      </c>
      <c r="AN66" s="142">
        <f t="shared" si="30"/>
        <v>240</v>
      </c>
      <c r="AO66" s="142">
        <f t="shared" si="30"/>
        <v>240</v>
      </c>
      <c r="AP66" s="142">
        <f t="shared" si="30"/>
        <v>240</v>
      </c>
      <c r="AQ66" s="142">
        <f t="shared" si="30"/>
        <v>240</v>
      </c>
      <c r="AR66" s="142">
        <f t="shared" si="30"/>
        <v>240</v>
      </c>
      <c r="AT66" s="138"/>
    </row>
    <row r="67" spans="2:46" hidden="1" outlineLevel="1">
      <c r="B67" s="140">
        <v>2044</v>
      </c>
      <c r="C67" s="141">
        <f>'Outgrower Woody C Pool'!C107</f>
        <v>300</v>
      </c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>
        <f t="shared" ref="AF67:AR67" si="31">$E$16*$C67</f>
        <v>240</v>
      </c>
      <c r="AG67" s="142">
        <f t="shared" si="31"/>
        <v>240</v>
      </c>
      <c r="AH67" s="142">
        <f t="shared" si="31"/>
        <v>240</v>
      </c>
      <c r="AI67" s="142">
        <f t="shared" si="31"/>
        <v>240</v>
      </c>
      <c r="AJ67" s="142">
        <f t="shared" si="31"/>
        <v>240</v>
      </c>
      <c r="AK67" s="142">
        <f t="shared" si="31"/>
        <v>240</v>
      </c>
      <c r="AL67" s="142">
        <f t="shared" si="31"/>
        <v>240</v>
      </c>
      <c r="AM67" s="142">
        <f t="shared" si="31"/>
        <v>240</v>
      </c>
      <c r="AN67" s="142">
        <f t="shared" si="31"/>
        <v>240</v>
      </c>
      <c r="AO67" s="142">
        <f t="shared" si="31"/>
        <v>240</v>
      </c>
      <c r="AP67" s="142">
        <f t="shared" si="31"/>
        <v>240</v>
      </c>
      <c r="AQ67" s="142">
        <f t="shared" si="31"/>
        <v>240</v>
      </c>
      <c r="AR67" s="142">
        <f t="shared" si="31"/>
        <v>240</v>
      </c>
      <c r="AT67" s="138"/>
    </row>
    <row r="68" spans="2:46" hidden="1" outlineLevel="1">
      <c r="B68" s="140">
        <v>2045</v>
      </c>
      <c r="C68" s="141">
        <f>'Outgrower Woody C Pool'!C108</f>
        <v>300</v>
      </c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>
        <f t="shared" ref="AG68:AR68" si="32">$E$16*$C68</f>
        <v>240</v>
      </c>
      <c r="AH68" s="142">
        <f t="shared" si="32"/>
        <v>240</v>
      </c>
      <c r="AI68" s="142">
        <f t="shared" si="32"/>
        <v>240</v>
      </c>
      <c r="AJ68" s="142">
        <f t="shared" si="32"/>
        <v>240</v>
      </c>
      <c r="AK68" s="142">
        <f t="shared" si="32"/>
        <v>240</v>
      </c>
      <c r="AL68" s="142">
        <f t="shared" si="32"/>
        <v>240</v>
      </c>
      <c r="AM68" s="142">
        <f t="shared" si="32"/>
        <v>240</v>
      </c>
      <c r="AN68" s="142">
        <f t="shared" si="32"/>
        <v>240</v>
      </c>
      <c r="AO68" s="142">
        <f t="shared" si="32"/>
        <v>240</v>
      </c>
      <c r="AP68" s="142">
        <f t="shared" si="32"/>
        <v>240</v>
      </c>
      <c r="AQ68" s="142">
        <f t="shared" si="32"/>
        <v>240</v>
      </c>
      <c r="AR68" s="142">
        <f t="shared" si="32"/>
        <v>240</v>
      </c>
      <c r="AT68" s="138"/>
    </row>
    <row r="69" spans="2:46" hidden="1" outlineLevel="1">
      <c r="B69" s="140">
        <v>2046</v>
      </c>
      <c r="C69" s="141">
        <f>'Outgrower Woody C Pool'!C109</f>
        <v>300</v>
      </c>
      <c r="AH69" s="142">
        <f t="shared" ref="AH69:AR69" si="33">$E$16*$C69</f>
        <v>240</v>
      </c>
      <c r="AI69" s="142">
        <f t="shared" si="33"/>
        <v>240</v>
      </c>
      <c r="AJ69" s="142">
        <f t="shared" si="33"/>
        <v>240</v>
      </c>
      <c r="AK69" s="142">
        <f t="shared" si="33"/>
        <v>240</v>
      </c>
      <c r="AL69" s="142">
        <f t="shared" si="33"/>
        <v>240</v>
      </c>
      <c r="AM69" s="142">
        <f t="shared" si="33"/>
        <v>240</v>
      </c>
      <c r="AN69" s="142">
        <f t="shared" si="33"/>
        <v>240</v>
      </c>
      <c r="AO69" s="142">
        <f t="shared" si="33"/>
        <v>240</v>
      </c>
      <c r="AP69" s="142">
        <f t="shared" si="33"/>
        <v>240</v>
      </c>
      <c r="AQ69" s="142">
        <f t="shared" si="33"/>
        <v>240</v>
      </c>
      <c r="AR69" s="142">
        <f t="shared" si="33"/>
        <v>240</v>
      </c>
    </row>
    <row r="70" spans="2:46" collapsed="1">
      <c r="B70" s="135"/>
      <c r="D70" s="135" t="s">
        <v>7</v>
      </c>
      <c r="E70" s="143">
        <f>SUM(E40:E69)</f>
        <v>283.16000000000008</v>
      </c>
      <c r="F70" s="143">
        <f t="shared" ref="F70:AR70" si="34">SUM(F40:F69)</f>
        <v>450.00000000000011</v>
      </c>
      <c r="G70" s="143">
        <f t="shared" si="34"/>
        <v>645.3760000000002</v>
      </c>
      <c r="H70" s="143">
        <f t="shared" si="34"/>
        <v>734.32000000000016</v>
      </c>
      <c r="I70" s="143">
        <f t="shared" si="34"/>
        <v>849.19200000000012</v>
      </c>
      <c r="J70" s="143">
        <f t="shared" si="34"/>
        <v>878.69600000000014</v>
      </c>
      <c r="K70" s="143">
        <f t="shared" si="34"/>
        <v>962.20000000000016</v>
      </c>
      <c r="L70" s="143">
        <f t="shared" si="34"/>
        <v>994.08000000000015</v>
      </c>
      <c r="M70" s="143">
        <f t="shared" si="34"/>
        <v>1044.0960000000002</v>
      </c>
      <c r="N70" s="143">
        <f t="shared" si="34"/>
        <v>1284.0960000000002</v>
      </c>
      <c r="O70" s="143">
        <f t="shared" si="34"/>
        <v>1524.0960000000002</v>
      </c>
      <c r="P70" s="143">
        <f t="shared" si="34"/>
        <v>1764.0960000000002</v>
      </c>
      <c r="Q70" s="143">
        <f t="shared" si="34"/>
        <v>2004.0960000000002</v>
      </c>
      <c r="R70" s="143">
        <f t="shared" si="34"/>
        <v>2244.0960000000005</v>
      </c>
      <c r="S70" s="143">
        <f t="shared" si="34"/>
        <v>2484.0960000000005</v>
      </c>
      <c r="T70" s="143">
        <f t="shared" si="34"/>
        <v>2724.0960000000005</v>
      </c>
      <c r="U70" s="143">
        <f t="shared" si="34"/>
        <v>2964.0960000000005</v>
      </c>
      <c r="V70" s="143">
        <f t="shared" si="34"/>
        <v>3204.0960000000005</v>
      </c>
      <c r="W70" s="143">
        <f t="shared" si="34"/>
        <v>3444.0960000000005</v>
      </c>
      <c r="X70" s="143">
        <f t="shared" si="34"/>
        <v>3684.0960000000005</v>
      </c>
      <c r="Y70" s="143">
        <f t="shared" si="34"/>
        <v>3640.9360000000001</v>
      </c>
      <c r="Z70" s="143">
        <f t="shared" si="34"/>
        <v>3714.096</v>
      </c>
      <c r="AA70" s="143">
        <f t="shared" si="34"/>
        <v>3758.7200000000003</v>
      </c>
      <c r="AB70" s="143">
        <f t="shared" si="34"/>
        <v>3909.7759999999998</v>
      </c>
      <c r="AC70" s="143">
        <f t="shared" si="34"/>
        <v>4034.904</v>
      </c>
      <c r="AD70" s="143">
        <f t="shared" si="34"/>
        <v>4245.3999999999996</v>
      </c>
      <c r="AE70" s="143">
        <f t="shared" si="34"/>
        <v>4401.8959999999997</v>
      </c>
      <c r="AF70" s="143">
        <f t="shared" si="34"/>
        <v>4610.0159999999996</v>
      </c>
      <c r="AG70" s="143">
        <f t="shared" si="34"/>
        <v>4800</v>
      </c>
      <c r="AH70" s="143">
        <f t="shared" si="34"/>
        <v>4800</v>
      </c>
      <c r="AI70" s="143">
        <f t="shared" si="34"/>
        <v>4560</v>
      </c>
      <c r="AJ70" s="143">
        <f t="shared" si="34"/>
        <v>4320</v>
      </c>
      <c r="AK70" s="143">
        <f t="shared" si="34"/>
        <v>4080</v>
      </c>
      <c r="AL70" s="143">
        <f t="shared" si="34"/>
        <v>3840</v>
      </c>
      <c r="AM70" s="143">
        <f t="shared" si="34"/>
        <v>3600</v>
      </c>
      <c r="AN70" s="143">
        <f t="shared" si="34"/>
        <v>3360</v>
      </c>
      <c r="AO70" s="143">
        <f t="shared" si="34"/>
        <v>3120</v>
      </c>
      <c r="AP70" s="143">
        <f t="shared" si="34"/>
        <v>2880</v>
      </c>
      <c r="AQ70" s="143">
        <f t="shared" si="34"/>
        <v>2640</v>
      </c>
      <c r="AR70" s="143">
        <f t="shared" si="34"/>
        <v>2400</v>
      </c>
      <c r="AS70" s="143"/>
      <c r="AT70" s="138">
        <f>SUM(E70:AR70)</f>
        <v>110881.92000000001</v>
      </c>
    </row>
    <row r="71" spans="2:46">
      <c r="B71" s="135"/>
      <c r="AT71" s="138"/>
    </row>
    <row r="72" spans="2:46">
      <c r="B72" s="135"/>
      <c r="D72" s="152" t="s">
        <v>78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T72" s="138"/>
    </row>
    <row r="73" spans="2:46">
      <c r="B73" s="135"/>
      <c r="E73" s="138">
        <f>E29+E32+E37+E70</f>
        <v>14468.676138561139</v>
      </c>
      <c r="F73" s="138">
        <f t="shared" ref="F73:AR73" si="35">F29+F32+F37+F70</f>
        <v>18399.103366114323</v>
      </c>
      <c r="G73" s="138">
        <f t="shared" si="35"/>
        <v>21333.885562715102</v>
      </c>
      <c r="H73" s="138">
        <f t="shared" si="35"/>
        <v>25666.473892883732</v>
      </c>
      <c r="I73" s="138">
        <f t="shared" si="35"/>
        <v>28236.267377231994</v>
      </c>
      <c r="J73" s="138">
        <f t="shared" si="35"/>
        <v>30340.845479971114</v>
      </c>
      <c r="K73" s="138">
        <f t="shared" si="35"/>
        <v>31826.457345311803</v>
      </c>
      <c r="L73" s="138">
        <f t="shared" si="35"/>
        <v>29618.309492791443</v>
      </c>
      <c r="M73" s="138">
        <f t="shared" si="35"/>
        <v>14323.788</v>
      </c>
      <c r="N73" s="138">
        <f t="shared" si="35"/>
        <v>21351.959642426842</v>
      </c>
      <c r="O73" s="138">
        <f t="shared" si="35"/>
        <v>14803.788</v>
      </c>
      <c r="P73" s="138">
        <f t="shared" si="35"/>
        <v>37145.836806442319</v>
      </c>
      <c r="Q73" s="138">
        <f t="shared" si="35"/>
        <v>33784.193111799061</v>
      </c>
      <c r="R73" s="138">
        <f t="shared" si="35"/>
        <v>53250.36775530671</v>
      </c>
      <c r="S73" s="138">
        <f t="shared" si="35"/>
        <v>26357.986030395728</v>
      </c>
      <c r="T73" s="138">
        <f t="shared" si="35"/>
        <v>16003.788</v>
      </c>
      <c r="U73" s="138">
        <f t="shared" si="35"/>
        <v>16243.788</v>
      </c>
      <c r="V73" s="138">
        <f t="shared" si="35"/>
        <v>16483.788</v>
      </c>
      <c r="W73" s="138">
        <f t="shared" si="35"/>
        <v>16723.788</v>
      </c>
      <c r="X73" s="138">
        <f t="shared" si="35"/>
        <v>16963.788</v>
      </c>
      <c r="Y73" s="138">
        <f t="shared" si="35"/>
        <v>13755.028</v>
      </c>
      <c r="Z73" s="138">
        <f t="shared" si="35"/>
        <v>13828.188</v>
      </c>
      <c r="AA73" s="138">
        <f t="shared" si="35"/>
        <v>13872.812000000002</v>
      </c>
      <c r="AB73" s="138">
        <f t="shared" si="35"/>
        <v>14023.868</v>
      </c>
      <c r="AC73" s="138">
        <f t="shared" si="35"/>
        <v>14148.996000000001</v>
      </c>
      <c r="AD73" s="138">
        <f t="shared" si="35"/>
        <v>14359.492</v>
      </c>
      <c r="AE73" s="138">
        <f t="shared" si="35"/>
        <v>14515.988000000001</v>
      </c>
      <c r="AF73" s="138">
        <f t="shared" si="35"/>
        <v>14724.108</v>
      </c>
      <c r="AG73" s="138">
        <f t="shared" si="35"/>
        <v>14914.092000000001</v>
      </c>
      <c r="AH73" s="138">
        <f t="shared" si="35"/>
        <v>14914.092000000001</v>
      </c>
      <c r="AI73" s="138">
        <f t="shared" si="35"/>
        <v>14674.092000000001</v>
      </c>
      <c r="AJ73" s="138">
        <f t="shared" si="35"/>
        <v>14434.092000000001</v>
      </c>
      <c r="AK73" s="138">
        <f t="shared" si="35"/>
        <v>14194.092000000001</v>
      </c>
      <c r="AL73" s="138">
        <f t="shared" si="35"/>
        <v>13954.092000000001</v>
      </c>
      <c r="AM73" s="138">
        <f t="shared" si="35"/>
        <v>13714.092000000001</v>
      </c>
      <c r="AN73" s="138">
        <f t="shared" si="35"/>
        <v>13474.092000000001</v>
      </c>
      <c r="AO73" s="138">
        <f t="shared" si="35"/>
        <v>13234.092000000001</v>
      </c>
      <c r="AP73" s="138">
        <f t="shared" si="35"/>
        <v>12994.092000000001</v>
      </c>
      <c r="AQ73" s="138">
        <f t="shared" si="35"/>
        <v>12754.092000000001</v>
      </c>
      <c r="AR73" s="138">
        <f t="shared" si="35"/>
        <v>12514.092000000001</v>
      </c>
      <c r="AT73" s="138">
        <f t="shared" ref="AT73:AT80" si="36">SUM(E73:AR73)</f>
        <v>762324.46200195071</v>
      </c>
    </row>
    <row r="74" spans="2:46"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T74" s="138"/>
    </row>
    <row r="75" spans="2:46" ht="26.05" customHeight="1">
      <c r="D75" s="150" t="s">
        <v>79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T75" s="138"/>
    </row>
    <row r="76" spans="2:46">
      <c r="AT76" s="138"/>
    </row>
    <row r="77" spans="2:46" s="27" customFormat="1">
      <c r="B77" s="79"/>
      <c r="C77" s="79"/>
      <c r="D77" s="76" t="s">
        <v>7</v>
      </c>
      <c r="E77" s="77">
        <f>E73*$E$19</f>
        <v>53051.812508057505</v>
      </c>
      <c r="F77" s="77">
        <f t="shared" ref="F77:AR77" si="37">F73*$E$19</f>
        <v>67463.379009085853</v>
      </c>
      <c r="G77" s="77">
        <f t="shared" si="37"/>
        <v>78224.247063288713</v>
      </c>
      <c r="H77" s="77">
        <f t="shared" si="37"/>
        <v>94110.404273907014</v>
      </c>
      <c r="I77" s="77">
        <f t="shared" si="37"/>
        <v>103532.98038318397</v>
      </c>
      <c r="J77" s="77">
        <f t="shared" si="37"/>
        <v>111249.76675989408</v>
      </c>
      <c r="K77" s="77">
        <f t="shared" si="37"/>
        <v>116697.01026614328</v>
      </c>
      <c r="L77" s="77">
        <f t="shared" si="37"/>
        <v>108600.46814023529</v>
      </c>
      <c r="M77" s="77">
        <f t="shared" si="37"/>
        <v>52520.555999999997</v>
      </c>
      <c r="N77" s="77">
        <f t="shared" si="37"/>
        <v>78290.518688898417</v>
      </c>
      <c r="O77" s="77">
        <f t="shared" si="37"/>
        <v>54280.555999999997</v>
      </c>
      <c r="P77" s="77">
        <f t="shared" si="37"/>
        <v>136201.40162362184</v>
      </c>
      <c r="Q77" s="77">
        <f t="shared" si="37"/>
        <v>123875.37474326322</v>
      </c>
      <c r="R77" s="77">
        <f t="shared" si="37"/>
        <v>195251.34843612459</v>
      </c>
      <c r="S77" s="77">
        <f t="shared" si="37"/>
        <v>96645.948778117672</v>
      </c>
      <c r="T77" s="77">
        <f t="shared" si="37"/>
        <v>58680.555999999997</v>
      </c>
      <c r="U77" s="77">
        <f t="shared" si="37"/>
        <v>59560.555999999997</v>
      </c>
      <c r="V77" s="77">
        <f t="shared" si="37"/>
        <v>60440.555999999997</v>
      </c>
      <c r="W77" s="77">
        <f t="shared" si="37"/>
        <v>61320.555999999997</v>
      </c>
      <c r="X77" s="77">
        <f t="shared" si="37"/>
        <v>62200.555999999997</v>
      </c>
      <c r="Y77" s="77">
        <f t="shared" si="37"/>
        <v>50435.102666666666</v>
      </c>
      <c r="Z77" s="77">
        <f t="shared" si="37"/>
        <v>50703.356</v>
      </c>
      <c r="AA77" s="77">
        <f t="shared" si="37"/>
        <v>50866.977333333336</v>
      </c>
      <c r="AB77" s="77">
        <f t="shared" si="37"/>
        <v>51420.849333333332</v>
      </c>
      <c r="AC77" s="77">
        <f t="shared" si="37"/>
        <v>51879.652000000002</v>
      </c>
      <c r="AD77" s="77">
        <f t="shared" si="37"/>
        <v>52651.470666666668</v>
      </c>
      <c r="AE77" s="77">
        <f t="shared" si="37"/>
        <v>53225.289333333334</v>
      </c>
      <c r="AF77" s="77">
        <f t="shared" si="37"/>
        <v>53988.396000000001</v>
      </c>
      <c r="AG77" s="77">
        <f t="shared" si="37"/>
        <v>54685.004000000001</v>
      </c>
      <c r="AH77" s="77">
        <f t="shared" si="37"/>
        <v>54685.004000000001</v>
      </c>
      <c r="AI77" s="77">
        <f t="shared" si="37"/>
        <v>53805.004000000001</v>
      </c>
      <c r="AJ77" s="77">
        <f t="shared" si="37"/>
        <v>52925.004000000001</v>
      </c>
      <c r="AK77" s="77">
        <f t="shared" si="37"/>
        <v>52045.004000000001</v>
      </c>
      <c r="AL77" s="77">
        <f t="shared" si="37"/>
        <v>51165.004000000001</v>
      </c>
      <c r="AM77" s="77">
        <f t="shared" si="37"/>
        <v>50285.004000000001</v>
      </c>
      <c r="AN77" s="77">
        <f t="shared" si="37"/>
        <v>49405.004000000001</v>
      </c>
      <c r="AO77" s="77">
        <f t="shared" si="37"/>
        <v>48525.004000000001</v>
      </c>
      <c r="AP77" s="77">
        <f t="shared" si="37"/>
        <v>47645.004000000001</v>
      </c>
      <c r="AQ77" s="77">
        <f t="shared" si="37"/>
        <v>46765.004000000001</v>
      </c>
      <c r="AR77" s="77">
        <f t="shared" si="37"/>
        <v>45885.004000000001</v>
      </c>
      <c r="AT77" s="78">
        <f t="shared" si="36"/>
        <v>2795189.6940071578</v>
      </c>
    </row>
    <row r="78" spans="2:46"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T78" s="138"/>
    </row>
    <row r="79" spans="2:46">
      <c r="D79" s="135" t="s">
        <v>80</v>
      </c>
      <c r="E79" s="138">
        <f>(E77)*$E$8</f>
        <v>9549.3262514503513</v>
      </c>
      <c r="F79" s="138">
        <f t="shared" ref="F79:AR79" si="38">(F77)*$E$8</f>
        <v>12143.408221635453</v>
      </c>
      <c r="G79" s="138">
        <f t="shared" si="38"/>
        <v>14080.364471391968</v>
      </c>
      <c r="H79" s="138">
        <f t="shared" si="38"/>
        <v>16939.872769303263</v>
      </c>
      <c r="I79" s="138">
        <f t="shared" si="38"/>
        <v>18635.936468973112</v>
      </c>
      <c r="J79" s="138">
        <f t="shared" si="38"/>
        <v>20024.958016780933</v>
      </c>
      <c r="K79" s="138">
        <f t="shared" si="38"/>
        <v>21005.46184790579</v>
      </c>
      <c r="L79" s="138">
        <f t="shared" si="38"/>
        <v>19548.084265242353</v>
      </c>
      <c r="M79" s="138">
        <f t="shared" si="38"/>
        <v>9453.7000799999987</v>
      </c>
      <c r="N79" s="138">
        <f t="shared" si="38"/>
        <v>14092.293364001715</v>
      </c>
      <c r="O79" s="138">
        <f t="shared" si="38"/>
        <v>9770.5000799999998</v>
      </c>
      <c r="P79" s="138">
        <f t="shared" si="38"/>
        <v>24516.252292251931</v>
      </c>
      <c r="Q79" s="138">
        <f t="shared" si="38"/>
        <v>22297.567453787378</v>
      </c>
      <c r="R79" s="138">
        <f t="shared" si="38"/>
        <v>35145.242718502428</v>
      </c>
      <c r="S79" s="138">
        <f t="shared" si="38"/>
        <v>17396.270780061179</v>
      </c>
      <c r="T79" s="138">
        <f t="shared" si="38"/>
        <v>10562.50008</v>
      </c>
      <c r="U79" s="138">
        <f t="shared" si="38"/>
        <v>10720.900079999999</v>
      </c>
      <c r="V79" s="138">
        <f t="shared" si="38"/>
        <v>10879.300079999999</v>
      </c>
      <c r="W79" s="138">
        <f t="shared" si="38"/>
        <v>11037.700079999999</v>
      </c>
      <c r="X79" s="138">
        <f t="shared" si="38"/>
        <v>11196.100079999998</v>
      </c>
      <c r="Y79" s="138">
        <f t="shared" si="38"/>
        <v>9078.3184799999999</v>
      </c>
      <c r="Z79" s="138">
        <f t="shared" si="38"/>
        <v>9126.6040799999992</v>
      </c>
      <c r="AA79" s="138">
        <f t="shared" si="38"/>
        <v>9156.0559200000007</v>
      </c>
      <c r="AB79" s="138">
        <f t="shared" si="38"/>
        <v>9255.75288</v>
      </c>
      <c r="AC79" s="138">
        <f t="shared" si="38"/>
        <v>9338.3373599999995</v>
      </c>
      <c r="AD79" s="138">
        <f t="shared" si="38"/>
        <v>9477.2647199999992</v>
      </c>
      <c r="AE79" s="138">
        <f t="shared" si="38"/>
        <v>9580.5520799999995</v>
      </c>
      <c r="AF79" s="138">
        <f t="shared" si="38"/>
        <v>9717.9112800000003</v>
      </c>
      <c r="AG79" s="138">
        <f t="shared" si="38"/>
        <v>9843.3007199999993</v>
      </c>
      <c r="AH79" s="138">
        <f t="shared" si="38"/>
        <v>9843.3007199999993</v>
      </c>
      <c r="AI79" s="138">
        <f t="shared" si="38"/>
        <v>9684.9007199999996</v>
      </c>
      <c r="AJ79" s="138">
        <f t="shared" si="38"/>
        <v>9526.50072</v>
      </c>
      <c r="AK79" s="138">
        <f t="shared" si="38"/>
        <v>9368.1007200000004</v>
      </c>
      <c r="AL79" s="138">
        <f t="shared" si="38"/>
        <v>9209.7007199999989</v>
      </c>
      <c r="AM79" s="138">
        <f t="shared" si="38"/>
        <v>9051.3007199999993</v>
      </c>
      <c r="AN79" s="138">
        <f t="shared" si="38"/>
        <v>8892.9007199999996</v>
      </c>
      <c r="AO79" s="138">
        <f t="shared" si="38"/>
        <v>8734.50072</v>
      </c>
      <c r="AP79" s="138">
        <f t="shared" si="38"/>
        <v>8576.1007200000004</v>
      </c>
      <c r="AQ79" s="138">
        <f t="shared" si="38"/>
        <v>8417.7007200000007</v>
      </c>
      <c r="AR79" s="138">
        <f t="shared" si="38"/>
        <v>8259.3007199999993</v>
      </c>
      <c r="AT79" s="138">
        <f t="shared" si="36"/>
        <v>503134.14492128789</v>
      </c>
    </row>
    <row r="80" spans="2:46">
      <c r="D80" s="135" t="s">
        <v>81</v>
      </c>
      <c r="E80" s="138">
        <f>E77-E79</f>
        <v>43502.486256607153</v>
      </c>
      <c r="F80" s="138">
        <f t="shared" ref="F80:AR80" si="39">F77-F79</f>
        <v>55319.970787450402</v>
      </c>
      <c r="G80" s="138">
        <f t="shared" si="39"/>
        <v>64143.882591896749</v>
      </c>
      <c r="H80" s="138">
        <f t="shared" si="39"/>
        <v>77170.531504603743</v>
      </c>
      <c r="I80" s="138">
        <f t="shared" si="39"/>
        <v>84897.043914210852</v>
      </c>
      <c r="J80" s="138">
        <f t="shared" si="39"/>
        <v>91224.808743113143</v>
      </c>
      <c r="K80" s="138">
        <f t="shared" si="39"/>
        <v>95691.548418237478</v>
      </c>
      <c r="L80" s="138">
        <f t="shared" si="39"/>
        <v>89052.383874992927</v>
      </c>
      <c r="M80" s="138">
        <f t="shared" si="39"/>
        <v>43066.855920000002</v>
      </c>
      <c r="N80" s="138">
        <f t="shared" si="39"/>
        <v>64198.225324896703</v>
      </c>
      <c r="O80" s="138">
        <f t="shared" si="39"/>
        <v>44510.055919999999</v>
      </c>
      <c r="P80" s="138">
        <f t="shared" si="39"/>
        <v>111685.14933136992</v>
      </c>
      <c r="Q80" s="138">
        <f t="shared" si="39"/>
        <v>101577.80728947584</v>
      </c>
      <c r="R80" s="138">
        <f t="shared" si="39"/>
        <v>160106.10571762215</v>
      </c>
      <c r="S80" s="138">
        <f t="shared" si="39"/>
        <v>79249.67799805649</v>
      </c>
      <c r="T80" s="138">
        <f t="shared" si="39"/>
        <v>48118.055919999999</v>
      </c>
      <c r="U80" s="138">
        <f t="shared" si="39"/>
        <v>48839.655919999997</v>
      </c>
      <c r="V80" s="138">
        <f t="shared" si="39"/>
        <v>49561.255919999996</v>
      </c>
      <c r="W80" s="138">
        <f t="shared" si="39"/>
        <v>50282.855920000002</v>
      </c>
      <c r="X80" s="138">
        <f t="shared" si="39"/>
        <v>51004.45592</v>
      </c>
      <c r="Y80" s="138">
        <f t="shared" si="39"/>
        <v>41356.784186666664</v>
      </c>
      <c r="Z80" s="138">
        <f t="shared" si="39"/>
        <v>41576.751920000002</v>
      </c>
      <c r="AA80" s="138">
        <f t="shared" si="39"/>
        <v>41710.921413333337</v>
      </c>
      <c r="AB80" s="138">
        <f t="shared" si="39"/>
        <v>42165.096453333332</v>
      </c>
      <c r="AC80" s="138">
        <f t="shared" si="39"/>
        <v>42541.314640000004</v>
      </c>
      <c r="AD80" s="138">
        <f t="shared" si="39"/>
        <v>43174.205946666669</v>
      </c>
      <c r="AE80" s="138">
        <f t="shared" si="39"/>
        <v>43644.737253333333</v>
      </c>
      <c r="AF80" s="138">
        <f t="shared" si="39"/>
        <v>44270.48472</v>
      </c>
      <c r="AG80" s="138">
        <f t="shared" si="39"/>
        <v>44841.703280000002</v>
      </c>
      <c r="AH80" s="138">
        <f t="shared" si="39"/>
        <v>44841.703280000002</v>
      </c>
      <c r="AI80" s="138">
        <f t="shared" si="39"/>
        <v>44120.103280000003</v>
      </c>
      <c r="AJ80" s="138">
        <f t="shared" si="39"/>
        <v>43398.503280000004</v>
      </c>
      <c r="AK80" s="138">
        <f t="shared" si="39"/>
        <v>42676.903279999999</v>
      </c>
      <c r="AL80" s="138">
        <f t="shared" si="39"/>
        <v>41955.30328</v>
      </c>
      <c r="AM80" s="138">
        <f t="shared" si="39"/>
        <v>41233.703280000002</v>
      </c>
      <c r="AN80" s="138">
        <f t="shared" si="39"/>
        <v>40512.103280000003</v>
      </c>
      <c r="AO80" s="138">
        <f t="shared" si="39"/>
        <v>39790.503280000004</v>
      </c>
      <c r="AP80" s="138">
        <f t="shared" si="39"/>
        <v>39068.903279999999</v>
      </c>
      <c r="AQ80" s="138">
        <f t="shared" si="39"/>
        <v>38347.30328</v>
      </c>
      <c r="AR80" s="138">
        <f t="shared" si="39"/>
        <v>37625.703280000002</v>
      </c>
      <c r="AT80" s="138">
        <f t="shared" si="36"/>
        <v>2292055.5490858671</v>
      </c>
    </row>
    <row r="82" spans="5:5">
      <c r="E82" s="138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2BCB-8F01-7C47-A295-29474BEC40F2}">
  <dimension ref="B2:O47"/>
  <sheetViews>
    <sheetView topLeftCell="A36" zoomScale="120" zoomScaleNormal="120" workbookViewId="0">
      <selection activeCell="F14" sqref="F14"/>
    </sheetView>
  </sheetViews>
  <sheetFormatPr defaultColWidth="10.84375" defaultRowHeight="14.6"/>
  <cols>
    <col min="1" max="1" width="10.84375" style="108"/>
    <col min="2" max="2" width="7.84375" style="108" customWidth="1"/>
    <col min="3" max="5" width="14.4609375" style="108" customWidth="1"/>
    <col min="6" max="7" width="7.84375" style="108" customWidth="1"/>
    <col min="8" max="8" width="26.84375" style="108" customWidth="1"/>
    <col min="9" max="15" width="14.4609375" style="108" customWidth="1"/>
    <col min="16" max="16384" width="10.84375" style="108"/>
  </cols>
  <sheetData>
    <row r="2" spans="2:15">
      <c r="B2" s="107" t="s">
        <v>102</v>
      </c>
    </row>
    <row r="4" spans="2:15" ht="58.3">
      <c r="B4" s="109" t="s">
        <v>5</v>
      </c>
      <c r="C4" s="110" t="s">
        <v>99</v>
      </c>
      <c r="D4" s="110" t="s">
        <v>100</v>
      </c>
      <c r="E4" s="111" t="s">
        <v>101</v>
      </c>
      <c r="F4" s="112"/>
      <c r="H4" s="113" t="s">
        <v>103</v>
      </c>
      <c r="I4" s="114" t="s">
        <v>104</v>
      </c>
      <c r="J4" s="114" t="s">
        <v>105</v>
      </c>
      <c r="K4" s="114" t="s">
        <v>6</v>
      </c>
      <c r="L4" s="114" t="s">
        <v>106</v>
      </c>
      <c r="M4" s="114" t="s">
        <v>107</v>
      </c>
      <c r="N4" s="114" t="s">
        <v>108</v>
      </c>
      <c r="O4" s="115" t="s">
        <v>109</v>
      </c>
    </row>
    <row r="5" spans="2:15" ht="13" customHeight="1" thickBot="1">
      <c r="B5" s="116">
        <v>1</v>
      </c>
      <c r="C5" s="117" cm="1">
        <f t="array" ref="C5:C44">TRANSPOSE('Carbon seq model'!E77:AR77)</f>
        <v>53051.812508057505</v>
      </c>
      <c r="D5" s="117" cm="1">
        <f t="array" ref="D5:D44">TRANSPOSE('Carbon seq model'!E79:AR79)</f>
        <v>9549.3262514503513</v>
      </c>
      <c r="E5" s="118">
        <f>C5-D5</f>
        <v>43502.486256607153</v>
      </c>
      <c r="F5" s="119"/>
      <c r="H5" s="120" t="s">
        <v>110</v>
      </c>
      <c r="I5" s="121">
        <v>0</v>
      </c>
      <c r="J5" s="122">
        <f>C5</f>
        <v>53051.812508057505</v>
      </c>
      <c r="K5" s="121">
        <v>0</v>
      </c>
      <c r="L5" s="122">
        <f>D5</f>
        <v>9549.3262514503513</v>
      </c>
      <c r="M5" s="121">
        <v>0</v>
      </c>
      <c r="N5" s="122">
        <f>-I5+J5-K5-L5</f>
        <v>43502.486256607153</v>
      </c>
      <c r="O5" s="123">
        <f>SUM(M5:N5)</f>
        <v>43502.486256607153</v>
      </c>
    </row>
    <row r="6" spans="2:15" ht="15.45" thickTop="1" thickBot="1">
      <c r="B6" s="116">
        <v>2</v>
      </c>
      <c r="C6" s="117">
        <v>67463.379009085853</v>
      </c>
      <c r="D6" s="117">
        <v>12143.408221635453</v>
      </c>
      <c r="E6" s="118">
        <f t="shared" ref="E6:E44" si="0">C6-D6</f>
        <v>55319.970787450402</v>
      </c>
      <c r="F6" s="119"/>
      <c r="H6" s="124" t="s">
        <v>111</v>
      </c>
      <c r="I6" s="121">
        <v>0</v>
      </c>
      <c r="J6" s="122">
        <f t="shared" ref="J6:J44" si="1">C6</f>
        <v>67463.379009085853</v>
      </c>
      <c r="K6" s="121">
        <v>0</v>
      </c>
      <c r="L6" s="122">
        <f t="shared" ref="L6:L44" si="2">D6</f>
        <v>12143.408221635453</v>
      </c>
      <c r="M6" s="121">
        <v>0</v>
      </c>
      <c r="N6" s="122">
        <f>-I6+J6-K6-L6</f>
        <v>55319.970787450402</v>
      </c>
      <c r="O6" s="123">
        <f t="shared" ref="O6:O44" si="3">SUM(M6:N6)</f>
        <v>55319.970787450402</v>
      </c>
    </row>
    <row r="7" spans="2:15" ht="15" thickBot="1">
      <c r="B7" s="116">
        <v>3</v>
      </c>
      <c r="C7" s="117">
        <v>78224.247063288713</v>
      </c>
      <c r="D7" s="117">
        <v>14080.364471391968</v>
      </c>
      <c r="E7" s="118">
        <f t="shared" si="0"/>
        <v>64143.882591896749</v>
      </c>
      <c r="F7" s="119"/>
      <c r="H7" s="124" t="s">
        <v>112</v>
      </c>
      <c r="I7" s="121">
        <v>0</v>
      </c>
      <c r="J7" s="122">
        <f t="shared" si="1"/>
        <v>78224.247063288713</v>
      </c>
      <c r="K7" s="121">
        <v>0</v>
      </c>
      <c r="L7" s="122">
        <f t="shared" si="2"/>
        <v>14080.364471391968</v>
      </c>
      <c r="M7" s="121">
        <v>0</v>
      </c>
      <c r="N7" s="122">
        <f t="shared" ref="N7:N44" si="4">-I7+J7-K7-L7</f>
        <v>64143.882591896749</v>
      </c>
      <c r="O7" s="123">
        <f t="shared" si="3"/>
        <v>64143.882591896749</v>
      </c>
    </row>
    <row r="8" spans="2:15" ht="15" thickBot="1">
      <c r="B8" s="116">
        <v>4</v>
      </c>
      <c r="C8" s="117">
        <v>94110.404273907014</v>
      </c>
      <c r="D8" s="117">
        <v>16939.872769303263</v>
      </c>
      <c r="E8" s="118">
        <f t="shared" si="0"/>
        <v>77170.531504603743</v>
      </c>
      <c r="F8" s="119"/>
      <c r="H8" s="124" t="s">
        <v>113</v>
      </c>
      <c r="I8" s="121">
        <v>0</v>
      </c>
      <c r="J8" s="122">
        <f t="shared" si="1"/>
        <v>94110.404273907014</v>
      </c>
      <c r="K8" s="121">
        <v>0</v>
      </c>
      <c r="L8" s="122">
        <f t="shared" si="2"/>
        <v>16939.872769303263</v>
      </c>
      <c r="M8" s="121">
        <v>0</v>
      </c>
      <c r="N8" s="122">
        <f t="shared" si="4"/>
        <v>77170.531504603743</v>
      </c>
      <c r="O8" s="123">
        <f t="shared" si="3"/>
        <v>77170.531504603743</v>
      </c>
    </row>
    <row r="9" spans="2:15" ht="15" thickBot="1">
      <c r="B9" s="116">
        <v>5</v>
      </c>
      <c r="C9" s="117">
        <v>103532.98038318397</v>
      </c>
      <c r="D9" s="117">
        <v>18635.936468973112</v>
      </c>
      <c r="E9" s="118">
        <f t="shared" si="0"/>
        <v>84897.043914210852</v>
      </c>
      <c r="F9" s="119"/>
      <c r="H9" s="124" t="s">
        <v>114</v>
      </c>
      <c r="I9" s="121">
        <v>0</v>
      </c>
      <c r="J9" s="122">
        <f t="shared" si="1"/>
        <v>103532.98038318397</v>
      </c>
      <c r="K9" s="121">
        <v>0</v>
      </c>
      <c r="L9" s="122">
        <f t="shared" si="2"/>
        <v>18635.936468973112</v>
      </c>
      <c r="M9" s="121">
        <v>0</v>
      </c>
      <c r="N9" s="122">
        <f t="shared" si="4"/>
        <v>84897.043914210852</v>
      </c>
      <c r="O9" s="123">
        <f t="shared" si="3"/>
        <v>84897.043914210852</v>
      </c>
    </row>
    <row r="10" spans="2:15" ht="15" thickBot="1">
      <c r="B10" s="116">
        <v>6</v>
      </c>
      <c r="C10" s="117">
        <v>111249.76675989408</v>
      </c>
      <c r="D10" s="117">
        <v>20024.958016780933</v>
      </c>
      <c r="E10" s="118">
        <f t="shared" si="0"/>
        <v>91224.808743113143</v>
      </c>
      <c r="F10" s="119"/>
      <c r="H10" s="124" t="s">
        <v>115</v>
      </c>
      <c r="I10" s="121">
        <v>0</v>
      </c>
      <c r="J10" s="122">
        <f t="shared" si="1"/>
        <v>111249.76675989408</v>
      </c>
      <c r="K10" s="121">
        <v>0</v>
      </c>
      <c r="L10" s="122">
        <f t="shared" si="2"/>
        <v>20024.958016780933</v>
      </c>
      <c r="M10" s="121">
        <v>0</v>
      </c>
      <c r="N10" s="122">
        <f t="shared" si="4"/>
        <v>91224.808743113143</v>
      </c>
      <c r="O10" s="123">
        <f t="shared" si="3"/>
        <v>91224.808743113143</v>
      </c>
    </row>
    <row r="11" spans="2:15" ht="15" thickBot="1">
      <c r="B11" s="116">
        <v>7</v>
      </c>
      <c r="C11" s="117">
        <v>116697.01026614328</v>
      </c>
      <c r="D11" s="117">
        <v>21005.46184790579</v>
      </c>
      <c r="E11" s="118">
        <f t="shared" si="0"/>
        <v>95691.548418237478</v>
      </c>
      <c r="F11" s="119"/>
      <c r="H11" s="124" t="s">
        <v>116</v>
      </c>
      <c r="I11" s="121">
        <v>0</v>
      </c>
      <c r="J11" s="122">
        <f t="shared" si="1"/>
        <v>116697.01026614328</v>
      </c>
      <c r="K11" s="121">
        <v>0</v>
      </c>
      <c r="L11" s="122">
        <f t="shared" si="2"/>
        <v>21005.46184790579</v>
      </c>
      <c r="M11" s="121">
        <v>0</v>
      </c>
      <c r="N11" s="122">
        <f t="shared" si="4"/>
        <v>95691.548418237478</v>
      </c>
      <c r="O11" s="123">
        <f t="shared" si="3"/>
        <v>95691.548418237478</v>
      </c>
    </row>
    <row r="12" spans="2:15" ht="15" thickBot="1">
      <c r="B12" s="116">
        <v>8</v>
      </c>
      <c r="C12" s="117">
        <v>108600.46814023529</v>
      </c>
      <c r="D12" s="117">
        <v>19548.084265242353</v>
      </c>
      <c r="E12" s="118">
        <f t="shared" si="0"/>
        <v>89052.383874992927</v>
      </c>
      <c r="F12" s="119"/>
      <c r="H12" s="124" t="s">
        <v>117</v>
      </c>
      <c r="I12" s="121">
        <v>0</v>
      </c>
      <c r="J12" s="122">
        <f t="shared" si="1"/>
        <v>108600.46814023529</v>
      </c>
      <c r="K12" s="121">
        <v>0</v>
      </c>
      <c r="L12" s="122">
        <f t="shared" si="2"/>
        <v>19548.084265242353</v>
      </c>
      <c r="M12" s="121">
        <v>0</v>
      </c>
      <c r="N12" s="122">
        <f t="shared" si="4"/>
        <v>89052.383874992927</v>
      </c>
      <c r="O12" s="123">
        <f t="shared" si="3"/>
        <v>89052.383874992927</v>
      </c>
    </row>
    <row r="13" spans="2:15" ht="15" thickBot="1">
      <c r="B13" s="116">
        <v>9</v>
      </c>
      <c r="C13" s="117">
        <v>52520.555999999997</v>
      </c>
      <c r="D13" s="117">
        <v>9453.7000799999987</v>
      </c>
      <c r="E13" s="118">
        <f t="shared" si="0"/>
        <v>43066.855920000002</v>
      </c>
      <c r="F13" s="119"/>
      <c r="H13" s="124" t="s">
        <v>118</v>
      </c>
      <c r="I13" s="121">
        <v>0</v>
      </c>
      <c r="J13" s="122">
        <f t="shared" si="1"/>
        <v>52520.555999999997</v>
      </c>
      <c r="K13" s="121">
        <v>0</v>
      </c>
      <c r="L13" s="122">
        <f t="shared" si="2"/>
        <v>9453.7000799999987</v>
      </c>
      <c r="M13" s="121">
        <v>0</v>
      </c>
      <c r="N13" s="122">
        <f t="shared" si="4"/>
        <v>43066.855920000002</v>
      </c>
      <c r="O13" s="123">
        <f t="shared" si="3"/>
        <v>43066.855920000002</v>
      </c>
    </row>
    <row r="14" spans="2:15" ht="15" thickBot="1">
      <c r="B14" s="116">
        <v>10</v>
      </c>
      <c r="C14" s="117">
        <v>78290.518688898417</v>
      </c>
      <c r="D14" s="117">
        <v>14092.293364001715</v>
      </c>
      <c r="E14" s="118">
        <f t="shared" si="0"/>
        <v>64198.225324896703</v>
      </c>
      <c r="F14" s="119"/>
      <c r="H14" s="124" t="s">
        <v>119</v>
      </c>
      <c r="I14" s="121">
        <v>0</v>
      </c>
      <c r="J14" s="122">
        <f t="shared" si="1"/>
        <v>78290.518688898417</v>
      </c>
      <c r="K14" s="121">
        <v>0</v>
      </c>
      <c r="L14" s="122">
        <f t="shared" si="2"/>
        <v>14092.293364001715</v>
      </c>
      <c r="M14" s="121">
        <v>0</v>
      </c>
      <c r="N14" s="122">
        <f t="shared" si="4"/>
        <v>64198.225324896703</v>
      </c>
      <c r="O14" s="123">
        <f t="shared" si="3"/>
        <v>64198.225324896703</v>
      </c>
    </row>
    <row r="15" spans="2:15" ht="15" thickBot="1">
      <c r="B15" s="116">
        <v>11</v>
      </c>
      <c r="C15" s="117">
        <v>54280.555999999997</v>
      </c>
      <c r="D15" s="117">
        <v>9770.5000799999998</v>
      </c>
      <c r="E15" s="118">
        <f t="shared" si="0"/>
        <v>44510.055919999999</v>
      </c>
      <c r="F15" s="119"/>
      <c r="H15" s="124" t="s">
        <v>120</v>
      </c>
      <c r="I15" s="121">
        <v>0</v>
      </c>
      <c r="J15" s="122">
        <f t="shared" si="1"/>
        <v>54280.555999999997</v>
      </c>
      <c r="K15" s="121">
        <v>0</v>
      </c>
      <c r="L15" s="122">
        <f t="shared" si="2"/>
        <v>9770.5000799999998</v>
      </c>
      <c r="M15" s="121">
        <v>0</v>
      </c>
      <c r="N15" s="122">
        <f t="shared" si="4"/>
        <v>44510.055919999999</v>
      </c>
      <c r="O15" s="123">
        <f t="shared" si="3"/>
        <v>44510.055919999999</v>
      </c>
    </row>
    <row r="16" spans="2:15" ht="15" thickBot="1">
      <c r="B16" s="116">
        <v>12</v>
      </c>
      <c r="C16" s="117">
        <v>136201.40162362184</v>
      </c>
      <c r="D16" s="117">
        <v>24516.252292251931</v>
      </c>
      <c r="E16" s="118">
        <f t="shared" si="0"/>
        <v>111685.14933136992</v>
      </c>
      <c r="F16" s="119"/>
      <c r="H16" s="124" t="s">
        <v>121</v>
      </c>
      <c r="I16" s="121">
        <v>0</v>
      </c>
      <c r="J16" s="122">
        <f t="shared" si="1"/>
        <v>136201.40162362184</v>
      </c>
      <c r="K16" s="121">
        <v>0</v>
      </c>
      <c r="L16" s="122">
        <f t="shared" si="2"/>
        <v>24516.252292251931</v>
      </c>
      <c r="M16" s="121">
        <v>0</v>
      </c>
      <c r="N16" s="122">
        <f t="shared" si="4"/>
        <v>111685.14933136992</v>
      </c>
      <c r="O16" s="123">
        <f t="shared" si="3"/>
        <v>111685.14933136992</v>
      </c>
    </row>
    <row r="17" spans="2:15" ht="15" thickBot="1">
      <c r="B17" s="116">
        <v>13</v>
      </c>
      <c r="C17" s="117">
        <v>123875.37474326322</v>
      </c>
      <c r="D17" s="117">
        <v>22297.567453787378</v>
      </c>
      <c r="E17" s="118">
        <f t="shared" si="0"/>
        <v>101577.80728947584</v>
      </c>
      <c r="F17" s="119"/>
      <c r="H17" s="124" t="s">
        <v>122</v>
      </c>
      <c r="I17" s="121">
        <v>0</v>
      </c>
      <c r="J17" s="122">
        <f t="shared" si="1"/>
        <v>123875.37474326322</v>
      </c>
      <c r="K17" s="121">
        <v>0</v>
      </c>
      <c r="L17" s="122">
        <f t="shared" si="2"/>
        <v>22297.567453787378</v>
      </c>
      <c r="M17" s="121">
        <v>0</v>
      </c>
      <c r="N17" s="122">
        <f t="shared" si="4"/>
        <v>101577.80728947584</v>
      </c>
      <c r="O17" s="123">
        <f t="shared" si="3"/>
        <v>101577.80728947584</v>
      </c>
    </row>
    <row r="18" spans="2:15" ht="15" thickBot="1">
      <c r="B18" s="116">
        <v>14</v>
      </c>
      <c r="C18" s="117">
        <v>195251.34843612459</v>
      </c>
      <c r="D18" s="117">
        <v>35145.242718502428</v>
      </c>
      <c r="E18" s="118">
        <f t="shared" si="0"/>
        <v>160106.10571762215</v>
      </c>
      <c r="F18" s="119"/>
      <c r="H18" s="124" t="s">
        <v>123</v>
      </c>
      <c r="I18" s="121">
        <v>0</v>
      </c>
      <c r="J18" s="122">
        <f t="shared" si="1"/>
        <v>195251.34843612459</v>
      </c>
      <c r="K18" s="121">
        <v>0</v>
      </c>
      <c r="L18" s="122">
        <f t="shared" si="2"/>
        <v>35145.242718502428</v>
      </c>
      <c r="M18" s="121">
        <v>0</v>
      </c>
      <c r="N18" s="122">
        <f t="shared" si="4"/>
        <v>160106.10571762215</v>
      </c>
      <c r="O18" s="123">
        <f t="shared" si="3"/>
        <v>160106.10571762215</v>
      </c>
    </row>
    <row r="19" spans="2:15" ht="15" thickBot="1">
      <c r="B19" s="116">
        <v>15</v>
      </c>
      <c r="C19" s="117">
        <v>96645.948778117672</v>
      </c>
      <c r="D19" s="117">
        <v>17396.270780061179</v>
      </c>
      <c r="E19" s="118">
        <f t="shared" si="0"/>
        <v>79249.67799805649</v>
      </c>
      <c r="F19" s="119"/>
      <c r="H19" s="124" t="s">
        <v>124</v>
      </c>
      <c r="I19" s="121">
        <v>0</v>
      </c>
      <c r="J19" s="122">
        <f t="shared" si="1"/>
        <v>96645.948778117672</v>
      </c>
      <c r="K19" s="121">
        <v>0</v>
      </c>
      <c r="L19" s="122">
        <f t="shared" si="2"/>
        <v>17396.270780061179</v>
      </c>
      <c r="M19" s="121">
        <v>0</v>
      </c>
      <c r="N19" s="122">
        <f t="shared" si="4"/>
        <v>79249.67799805649</v>
      </c>
      <c r="O19" s="123">
        <f t="shared" si="3"/>
        <v>79249.67799805649</v>
      </c>
    </row>
    <row r="20" spans="2:15" ht="15" thickBot="1">
      <c r="B20" s="116">
        <v>16</v>
      </c>
      <c r="C20" s="117">
        <v>58680.555999999997</v>
      </c>
      <c r="D20" s="117">
        <v>10562.50008</v>
      </c>
      <c r="E20" s="118">
        <f t="shared" si="0"/>
        <v>48118.055919999999</v>
      </c>
      <c r="F20" s="119"/>
      <c r="H20" s="124" t="s">
        <v>125</v>
      </c>
      <c r="I20" s="121">
        <v>0</v>
      </c>
      <c r="J20" s="122">
        <f t="shared" si="1"/>
        <v>58680.555999999997</v>
      </c>
      <c r="K20" s="121">
        <v>0</v>
      </c>
      <c r="L20" s="122">
        <f t="shared" si="2"/>
        <v>10562.50008</v>
      </c>
      <c r="M20" s="121">
        <v>0</v>
      </c>
      <c r="N20" s="122">
        <f t="shared" si="4"/>
        <v>48118.055919999999</v>
      </c>
      <c r="O20" s="123">
        <f t="shared" si="3"/>
        <v>48118.055919999999</v>
      </c>
    </row>
    <row r="21" spans="2:15" ht="15" thickBot="1">
      <c r="B21" s="116">
        <v>17</v>
      </c>
      <c r="C21" s="117">
        <v>59560.555999999997</v>
      </c>
      <c r="D21" s="117">
        <v>10720.900079999999</v>
      </c>
      <c r="E21" s="118">
        <f t="shared" si="0"/>
        <v>48839.655919999997</v>
      </c>
      <c r="F21" s="119"/>
      <c r="H21" s="124" t="s">
        <v>126</v>
      </c>
      <c r="I21" s="121">
        <v>0</v>
      </c>
      <c r="J21" s="122">
        <f t="shared" si="1"/>
        <v>59560.555999999997</v>
      </c>
      <c r="K21" s="121">
        <v>0</v>
      </c>
      <c r="L21" s="122">
        <f t="shared" si="2"/>
        <v>10720.900079999999</v>
      </c>
      <c r="M21" s="121">
        <v>0</v>
      </c>
      <c r="N21" s="122">
        <f t="shared" si="4"/>
        <v>48839.655919999997</v>
      </c>
      <c r="O21" s="123">
        <f t="shared" si="3"/>
        <v>48839.655919999997</v>
      </c>
    </row>
    <row r="22" spans="2:15" ht="15" thickBot="1">
      <c r="B22" s="116">
        <v>18</v>
      </c>
      <c r="C22" s="117">
        <v>60440.555999999997</v>
      </c>
      <c r="D22" s="117">
        <v>10879.300079999999</v>
      </c>
      <c r="E22" s="118">
        <f t="shared" si="0"/>
        <v>49561.255919999996</v>
      </c>
      <c r="F22" s="119"/>
      <c r="H22" s="124" t="s">
        <v>127</v>
      </c>
      <c r="I22" s="121">
        <v>0</v>
      </c>
      <c r="J22" s="122">
        <f t="shared" si="1"/>
        <v>60440.555999999997</v>
      </c>
      <c r="K22" s="121">
        <v>0</v>
      </c>
      <c r="L22" s="122">
        <f t="shared" si="2"/>
        <v>10879.300079999999</v>
      </c>
      <c r="M22" s="121">
        <v>0</v>
      </c>
      <c r="N22" s="122">
        <f t="shared" si="4"/>
        <v>49561.255919999996</v>
      </c>
      <c r="O22" s="123">
        <f t="shared" si="3"/>
        <v>49561.255919999996</v>
      </c>
    </row>
    <row r="23" spans="2:15" ht="15" thickBot="1">
      <c r="B23" s="116">
        <v>19</v>
      </c>
      <c r="C23" s="117">
        <v>61320.555999999997</v>
      </c>
      <c r="D23" s="117">
        <v>11037.700079999999</v>
      </c>
      <c r="E23" s="118">
        <f t="shared" si="0"/>
        <v>50282.855920000002</v>
      </c>
      <c r="F23" s="119"/>
      <c r="H23" s="124" t="s">
        <v>128</v>
      </c>
      <c r="I23" s="121">
        <v>0</v>
      </c>
      <c r="J23" s="122">
        <f t="shared" si="1"/>
        <v>61320.555999999997</v>
      </c>
      <c r="K23" s="121">
        <v>0</v>
      </c>
      <c r="L23" s="122">
        <f t="shared" si="2"/>
        <v>11037.700079999999</v>
      </c>
      <c r="M23" s="121">
        <v>0</v>
      </c>
      <c r="N23" s="122">
        <f t="shared" si="4"/>
        <v>50282.855920000002</v>
      </c>
      <c r="O23" s="123">
        <f t="shared" si="3"/>
        <v>50282.855920000002</v>
      </c>
    </row>
    <row r="24" spans="2:15" ht="15" thickBot="1">
      <c r="B24" s="116">
        <v>20</v>
      </c>
      <c r="C24" s="117">
        <v>62200.555999999997</v>
      </c>
      <c r="D24" s="117">
        <v>11196.100079999998</v>
      </c>
      <c r="E24" s="118">
        <f t="shared" si="0"/>
        <v>51004.45592</v>
      </c>
      <c r="F24" s="119"/>
      <c r="H24" s="124" t="s">
        <v>129</v>
      </c>
      <c r="I24" s="121">
        <v>0</v>
      </c>
      <c r="J24" s="122">
        <f t="shared" si="1"/>
        <v>62200.555999999997</v>
      </c>
      <c r="K24" s="121">
        <v>0</v>
      </c>
      <c r="L24" s="122">
        <f t="shared" si="2"/>
        <v>11196.100079999998</v>
      </c>
      <c r="M24" s="121">
        <v>0</v>
      </c>
      <c r="N24" s="122">
        <f t="shared" si="4"/>
        <v>51004.45592</v>
      </c>
      <c r="O24" s="123">
        <f t="shared" si="3"/>
        <v>51004.45592</v>
      </c>
    </row>
    <row r="25" spans="2:15" ht="15" thickBot="1">
      <c r="B25" s="116">
        <v>21</v>
      </c>
      <c r="C25" s="117">
        <v>50435.102666666666</v>
      </c>
      <c r="D25" s="117">
        <v>9078.3184799999999</v>
      </c>
      <c r="E25" s="118">
        <f t="shared" si="0"/>
        <v>41356.784186666664</v>
      </c>
      <c r="F25" s="119"/>
      <c r="H25" s="124" t="s">
        <v>130</v>
      </c>
      <c r="I25" s="121">
        <v>0</v>
      </c>
      <c r="J25" s="122">
        <f t="shared" si="1"/>
        <v>50435.102666666666</v>
      </c>
      <c r="K25" s="121">
        <v>0</v>
      </c>
      <c r="L25" s="122">
        <f t="shared" si="2"/>
        <v>9078.3184799999999</v>
      </c>
      <c r="M25" s="121">
        <v>0</v>
      </c>
      <c r="N25" s="122">
        <f t="shared" si="4"/>
        <v>41356.784186666664</v>
      </c>
      <c r="O25" s="123">
        <f t="shared" si="3"/>
        <v>41356.784186666664</v>
      </c>
    </row>
    <row r="26" spans="2:15" ht="15" thickBot="1">
      <c r="B26" s="116">
        <v>22</v>
      </c>
      <c r="C26" s="117">
        <v>50703.356</v>
      </c>
      <c r="D26" s="117">
        <v>9126.6040799999992</v>
      </c>
      <c r="E26" s="118">
        <f t="shared" si="0"/>
        <v>41576.751920000002</v>
      </c>
      <c r="F26" s="119"/>
      <c r="H26" s="124" t="s">
        <v>131</v>
      </c>
      <c r="I26" s="121">
        <v>0</v>
      </c>
      <c r="J26" s="122">
        <f t="shared" si="1"/>
        <v>50703.356</v>
      </c>
      <c r="K26" s="121">
        <v>0</v>
      </c>
      <c r="L26" s="122">
        <f t="shared" si="2"/>
        <v>9126.6040799999992</v>
      </c>
      <c r="M26" s="121">
        <v>0</v>
      </c>
      <c r="N26" s="122">
        <f t="shared" si="4"/>
        <v>41576.751920000002</v>
      </c>
      <c r="O26" s="123">
        <f t="shared" si="3"/>
        <v>41576.751920000002</v>
      </c>
    </row>
    <row r="27" spans="2:15" ht="15" thickBot="1">
      <c r="B27" s="116">
        <v>23</v>
      </c>
      <c r="C27" s="117">
        <v>50866.977333333336</v>
      </c>
      <c r="D27" s="117">
        <v>9156.0559200000007</v>
      </c>
      <c r="E27" s="118">
        <f t="shared" si="0"/>
        <v>41710.921413333337</v>
      </c>
      <c r="F27" s="119"/>
      <c r="H27" s="124" t="s">
        <v>132</v>
      </c>
      <c r="I27" s="121">
        <v>0</v>
      </c>
      <c r="J27" s="122">
        <f t="shared" si="1"/>
        <v>50866.977333333336</v>
      </c>
      <c r="K27" s="121">
        <v>0</v>
      </c>
      <c r="L27" s="122">
        <f t="shared" si="2"/>
        <v>9156.0559200000007</v>
      </c>
      <c r="M27" s="121">
        <v>0</v>
      </c>
      <c r="N27" s="122">
        <f t="shared" si="4"/>
        <v>41710.921413333337</v>
      </c>
      <c r="O27" s="123">
        <f t="shared" si="3"/>
        <v>41710.921413333337</v>
      </c>
    </row>
    <row r="28" spans="2:15" ht="15" thickBot="1">
      <c r="B28" s="116">
        <v>24</v>
      </c>
      <c r="C28" s="117">
        <v>51420.849333333332</v>
      </c>
      <c r="D28" s="117">
        <v>9255.75288</v>
      </c>
      <c r="E28" s="118">
        <f t="shared" si="0"/>
        <v>42165.096453333332</v>
      </c>
      <c r="F28" s="119"/>
      <c r="H28" s="124" t="s">
        <v>133</v>
      </c>
      <c r="I28" s="121">
        <v>0</v>
      </c>
      <c r="J28" s="122">
        <f t="shared" si="1"/>
        <v>51420.849333333332</v>
      </c>
      <c r="K28" s="121">
        <v>0</v>
      </c>
      <c r="L28" s="122">
        <f t="shared" si="2"/>
        <v>9255.75288</v>
      </c>
      <c r="M28" s="121">
        <v>0</v>
      </c>
      <c r="N28" s="122">
        <f t="shared" si="4"/>
        <v>42165.096453333332</v>
      </c>
      <c r="O28" s="123">
        <f t="shared" si="3"/>
        <v>42165.096453333332</v>
      </c>
    </row>
    <row r="29" spans="2:15" ht="15" thickBot="1">
      <c r="B29" s="116">
        <v>25</v>
      </c>
      <c r="C29" s="117">
        <v>51879.652000000002</v>
      </c>
      <c r="D29" s="117">
        <v>9338.3373599999995</v>
      </c>
      <c r="E29" s="118">
        <f t="shared" si="0"/>
        <v>42541.314640000004</v>
      </c>
      <c r="F29" s="119"/>
      <c r="H29" s="124" t="s">
        <v>134</v>
      </c>
      <c r="I29" s="121">
        <v>0</v>
      </c>
      <c r="J29" s="122">
        <f t="shared" si="1"/>
        <v>51879.652000000002</v>
      </c>
      <c r="K29" s="121">
        <v>0</v>
      </c>
      <c r="L29" s="122">
        <f t="shared" si="2"/>
        <v>9338.3373599999995</v>
      </c>
      <c r="M29" s="121">
        <v>0</v>
      </c>
      <c r="N29" s="122">
        <f t="shared" si="4"/>
        <v>42541.314640000004</v>
      </c>
      <c r="O29" s="123">
        <f t="shared" si="3"/>
        <v>42541.314640000004</v>
      </c>
    </row>
    <row r="30" spans="2:15" ht="15" thickBot="1">
      <c r="B30" s="116">
        <v>26</v>
      </c>
      <c r="C30" s="117">
        <v>52651.470666666668</v>
      </c>
      <c r="D30" s="117">
        <v>9477.2647199999992</v>
      </c>
      <c r="E30" s="118">
        <f t="shared" si="0"/>
        <v>43174.205946666669</v>
      </c>
      <c r="F30" s="119"/>
      <c r="H30" s="124" t="s">
        <v>135</v>
      </c>
      <c r="I30" s="121">
        <v>0</v>
      </c>
      <c r="J30" s="122">
        <f t="shared" si="1"/>
        <v>52651.470666666668</v>
      </c>
      <c r="K30" s="121">
        <v>0</v>
      </c>
      <c r="L30" s="122">
        <f t="shared" si="2"/>
        <v>9477.2647199999992</v>
      </c>
      <c r="M30" s="121">
        <v>0</v>
      </c>
      <c r="N30" s="122">
        <f t="shared" si="4"/>
        <v>43174.205946666669</v>
      </c>
      <c r="O30" s="123">
        <f t="shared" si="3"/>
        <v>43174.205946666669</v>
      </c>
    </row>
    <row r="31" spans="2:15" ht="15" thickBot="1">
      <c r="B31" s="116">
        <v>27</v>
      </c>
      <c r="C31" s="117">
        <v>53225.289333333334</v>
      </c>
      <c r="D31" s="117">
        <v>9580.5520799999995</v>
      </c>
      <c r="E31" s="118">
        <f t="shared" si="0"/>
        <v>43644.737253333333</v>
      </c>
      <c r="F31" s="119"/>
      <c r="H31" s="124" t="s">
        <v>136</v>
      </c>
      <c r="I31" s="121">
        <v>0</v>
      </c>
      <c r="J31" s="122">
        <f t="shared" si="1"/>
        <v>53225.289333333334</v>
      </c>
      <c r="K31" s="121">
        <v>0</v>
      </c>
      <c r="L31" s="122">
        <f t="shared" si="2"/>
        <v>9580.5520799999995</v>
      </c>
      <c r="M31" s="121">
        <v>0</v>
      </c>
      <c r="N31" s="122">
        <f t="shared" si="4"/>
        <v>43644.737253333333</v>
      </c>
      <c r="O31" s="123">
        <f t="shared" si="3"/>
        <v>43644.737253333333</v>
      </c>
    </row>
    <row r="32" spans="2:15" ht="15" thickBot="1">
      <c r="B32" s="116">
        <v>28</v>
      </c>
      <c r="C32" s="117">
        <v>53988.396000000001</v>
      </c>
      <c r="D32" s="117">
        <v>9717.9112800000003</v>
      </c>
      <c r="E32" s="118">
        <f t="shared" si="0"/>
        <v>44270.48472</v>
      </c>
      <c r="F32" s="119"/>
      <c r="H32" s="124" t="s">
        <v>137</v>
      </c>
      <c r="I32" s="121">
        <v>0</v>
      </c>
      <c r="J32" s="122">
        <f t="shared" si="1"/>
        <v>53988.396000000001</v>
      </c>
      <c r="K32" s="121">
        <v>0</v>
      </c>
      <c r="L32" s="122">
        <f t="shared" si="2"/>
        <v>9717.9112800000003</v>
      </c>
      <c r="M32" s="121">
        <v>0</v>
      </c>
      <c r="N32" s="122">
        <f t="shared" si="4"/>
        <v>44270.48472</v>
      </c>
      <c r="O32" s="123">
        <f t="shared" si="3"/>
        <v>44270.48472</v>
      </c>
    </row>
    <row r="33" spans="2:15" ht="15" thickBot="1">
      <c r="B33" s="116">
        <v>29</v>
      </c>
      <c r="C33" s="117">
        <v>54685.004000000001</v>
      </c>
      <c r="D33" s="117">
        <v>9843.3007199999993</v>
      </c>
      <c r="E33" s="118">
        <f t="shared" si="0"/>
        <v>44841.703280000002</v>
      </c>
      <c r="F33" s="119"/>
      <c r="H33" s="124" t="s">
        <v>138</v>
      </c>
      <c r="I33" s="121">
        <v>0</v>
      </c>
      <c r="J33" s="122">
        <f t="shared" si="1"/>
        <v>54685.004000000001</v>
      </c>
      <c r="K33" s="121">
        <v>0</v>
      </c>
      <c r="L33" s="122">
        <f t="shared" si="2"/>
        <v>9843.3007199999993</v>
      </c>
      <c r="M33" s="121">
        <v>0</v>
      </c>
      <c r="N33" s="122">
        <f t="shared" si="4"/>
        <v>44841.703280000002</v>
      </c>
      <c r="O33" s="123">
        <f t="shared" si="3"/>
        <v>44841.703280000002</v>
      </c>
    </row>
    <row r="34" spans="2:15" ht="15" thickBot="1">
      <c r="B34" s="116">
        <v>30</v>
      </c>
      <c r="C34" s="117">
        <v>54685.004000000001</v>
      </c>
      <c r="D34" s="117">
        <v>9843.3007199999993</v>
      </c>
      <c r="E34" s="118">
        <f t="shared" si="0"/>
        <v>44841.703280000002</v>
      </c>
      <c r="F34" s="119"/>
      <c r="H34" s="124" t="s">
        <v>139</v>
      </c>
      <c r="I34" s="121">
        <v>0</v>
      </c>
      <c r="J34" s="122">
        <f t="shared" si="1"/>
        <v>54685.004000000001</v>
      </c>
      <c r="K34" s="121">
        <v>0</v>
      </c>
      <c r="L34" s="122">
        <f t="shared" si="2"/>
        <v>9843.3007199999993</v>
      </c>
      <c r="M34" s="121">
        <v>0</v>
      </c>
      <c r="N34" s="122">
        <f t="shared" si="4"/>
        <v>44841.703280000002</v>
      </c>
      <c r="O34" s="123">
        <f t="shared" si="3"/>
        <v>44841.703280000002</v>
      </c>
    </row>
    <row r="35" spans="2:15" ht="15" thickBot="1">
      <c r="B35" s="116">
        <v>31</v>
      </c>
      <c r="C35" s="117">
        <v>53805.004000000001</v>
      </c>
      <c r="D35" s="117">
        <v>9684.9007199999996</v>
      </c>
      <c r="E35" s="118">
        <f t="shared" si="0"/>
        <v>44120.103280000003</v>
      </c>
      <c r="F35" s="119"/>
      <c r="H35" s="124" t="s">
        <v>140</v>
      </c>
      <c r="I35" s="121">
        <v>0</v>
      </c>
      <c r="J35" s="122">
        <f t="shared" si="1"/>
        <v>53805.004000000001</v>
      </c>
      <c r="K35" s="121">
        <v>0</v>
      </c>
      <c r="L35" s="122">
        <f t="shared" si="2"/>
        <v>9684.9007199999996</v>
      </c>
      <c r="M35" s="121">
        <v>0</v>
      </c>
      <c r="N35" s="122">
        <f t="shared" si="4"/>
        <v>44120.103280000003</v>
      </c>
      <c r="O35" s="123">
        <f t="shared" si="3"/>
        <v>44120.103280000003</v>
      </c>
    </row>
    <row r="36" spans="2:15" ht="15" thickBot="1">
      <c r="B36" s="116">
        <v>32</v>
      </c>
      <c r="C36" s="117">
        <v>52925.004000000001</v>
      </c>
      <c r="D36" s="117">
        <v>9526.50072</v>
      </c>
      <c r="E36" s="118">
        <f t="shared" si="0"/>
        <v>43398.503280000004</v>
      </c>
      <c r="F36" s="119"/>
      <c r="H36" s="124" t="s">
        <v>141</v>
      </c>
      <c r="I36" s="121">
        <v>0</v>
      </c>
      <c r="J36" s="122">
        <f t="shared" si="1"/>
        <v>52925.004000000001</v>
      </c>
      <c r="K36" s="121">
        <v>0</v>
      </c>
      <c r="L36" s="122">
        <f t="shared" si="2"/>
        <v>9526.50072</v>
      </c>
      <c r="M36" s="121">
        <v>0</v>
      </c>
      <c r="N36" s="122">
        <f t="shared" si="4"/>
        <v>43398.503280000004</v>
      </c>
      <c r="O36" s="123">
        <f t="shared" si="3"/>
        <v>43398.503280000004</v>
      </c>
    </row>
    <row r="37" spans="2:15" ht="15" thickBot="1">
      <c r="B37" s="116">
        <v>33</v>
      </c>
      <c r="C37" s="117">
        <v>52045.004000000001</v>
      </c>
      <c r="D37" s="117">
        <v>9368.1007200000004</v>
      </c>
      <c r="E37" s="118">
        <f t="shared" si="0"/>
        <v>42676.903279999999</v>
      </c>
      <c r="F37" s="119"/>
      <c r="H37" s="124" t="s">
        <v>142</v>
      </c>
      <c r="I37" s="121">
        <v>0</v>
      </c>
      <c r="J37" s="122">
        <f t="shared" si="1"/>
        <v>52045.004000000001</v>
      </c>
      <c r="K37" s="121">
        <v>0</v>
      </c>
      <c r="L37" s="122">
        <f t="shared" si="2"/>
        <v>9368.1007200000004</v>
      </c>
      <c r="M37" s="121">
        <v>0</v>
      </c>
      <c r="N37" s="122">
        <f t="shared" si="4"/>
        <v>42676.903279999999</v>
      </c>
      <c r="O37" s="123">
        <f t="shared" si="3"/>
        <v>42676.903279999999</v>
      </c>
    </row>
    <row r="38" spans="2:15" ht="15" thickBot="1">
      <c r="B38" s="116">
        <v>34</v>
      </c>
      <c r="C38" s="117">
        <v>51165.004000000001</v>
      </c>
      <c r="D38" s="117">
        <v>9209.7007199999989</v>
      </c>
      <c r="E38" s="118">
        <f t="shared" si="0"/>
        <v>41955.30328</v>
      </c>
      <c r="F38" s="119"/>
      <c r="H38" s="124" t="s">
        <v>143</v>
      </c>
      <c r="I38" s="121">
        <v>0</v>
      </c>
      <c r="J38" s="122">
        <f t="shared" si="1"/>
        <v>51165.004000000001</v>
      </c>
      <c r="K38" s="121">
        <v>0</v>
      </c>
      <c r="L38" s="122">
        <f t="shared" si="2"/>
        <v>9209.7007199999989</v>
      </c>
      <c r="M38" s="121">
        <v>0</v>
      </c>
      <c r="N38" s="122">
        <f t="shared" si="4"/>
        <v>41955.30328</v>
      </c>
      <c r="O38" s="123">
        <f t="shared" si="3"/>
        <v>41955.30328</v>
      </c>
    </row>
    <row r="39" spans="2:15" ht="15" thickBot="1">
      <c r="B39" s="116">
        <v>35</v>
      </c>
      <c r="C39" s="117">
        <v>50285.004000000001</v>
      </c>
      <c r="D39" s="117">
        <v>9051.3007199999993</v>
      </c>
      <c r="E39" s="118">
        <f t="shared" si="0"/>
        <v>41233.703280000002</v>
      </c>
      <c r="F39" s="119"/>
      <c r="H39" s="124" t="s">
        <v>144</v>
      </c>
      <c r="I39" s="121">
        <v>0</v>
      </c>
      <c r="J39" s="122">
        <f t="shared" si="1"/>
        <v>50285.004000000001</v>
      </c>
      <c r="K39" s="121">
        <v>0</v>
      </c>
      <c r="L39" s="122">
        <f t="shared" si="2"/>
        <v>9051.3007199999993</v>
      </c>
      <c r="M39" s="121">
        <v>0</v>
      </c>
      <c r="N39" s="122">
        <f t="shared" si="4"/>
        <v>41233.703280000002</v>
      </c>
      <c r="O39" s="123">
        <f t="shared" si="3"/>
        <v>41233.703280000002</v>
      </c>
    </row>
    <row r="40" spans="2:15" ht="15" thickBot="1">
      <c r="B40" s="116">
        <v>36</v>
      </c>
      <c r="C40" s="117">
        <v>49405.004000000001</v>
      </c>
      <c r="D40" s="117">
        <v>8892.9007199999996</v>
      </c>
      <c r="E40" s="118">
        <f t="shared" si="0"/>
        <v>40512.103280000003</v>
      </c>
      <c r="F40" s="119"/>
      <c r="H40" s="124" t="s">
        <v>145</v>
      </c>
      <c r="I40" s="121">
        <v>0</v>
      </c>
      <c r="J40" s="122">
        <f t="shared" si="1"/>
        <v>49405.004000000001</v>
      </c>
      <c r="K40" s="121">
        <v>0</v>
      </c>
      <c r="L40" s="122">
        <f t="shared" si="2"/>
        <v>8892.9007199999996</v>
      </c>
      <c r="M40" s="121">
        <v>0</v>
      </c>
      <c r="N40" s="122">
        <f t="shared" si="4"/>
        <v>40512.103280000003</v>
      </c>
      <c r="O40" s="123">
        <f t="shared" si="3"/>
        <v>40512.103280000003</v>
      </c>
    </row>
    <row r="41" spans="2:15" ht="15" thickBot="1">
      <c r="B41" s="116">
        <v>37</v>
      </c>
      <c r="C41" s="117">
        <v>48525.004000000001</v>
      </c>
      <c r="D41" s="117">
        <v>8734.50072</v>
      </c>
      <c r="E41" s="118">
        <f t="shared" si="0"/>
        <v>39790.503280000004</v>
      </c>
      <c r="F41" s="119"/>
      <c r="H41" s="124" t="s">
        <v>146</v>
      </c>
      <c r="I41" s="121">
        <v>0</v>
      </c>
      <c r="J41" s="122">
        <f t="shared" si="1"/>
        <v>48525.004000000001</v>
      </c>
      <c r="K41" s="121">
        <v>0</v>
      </c>
      <c r="L41" s="122">
        <f t="shared" si="2"/>
        <v>8734.50072</v>
      </c>
      <c r="M41" s="121">
        <v>0</v>
      </c>
      <c r="N41" s="122">
        <f t="shared" si="4"/>
        <v>39790.503280000004</v>
      </c>
      <c r="O41" s="123">
        <f t="shared" si="3"/>
        <v>39790.503280000004</v>
      </c>
    </row>
    <row r="42" spans="2:15" ht="15" thickBot="1">
      <c r="B42" s="116">
        <v>38</v>
      </c>
      <c r="C42" s="117">
        <v>47645.004000000001</v>
      </c>
      <c r="D42" s="117">
        <v>8576.1007200000004</v>
      </c>
      <c r="E42" s="118">
        <f t="shared" si="0"/>
        <v>39068.903279999999</v>
      </c>
      <c r="F42" s="119"/>
      <c r="H42" s="124" t="s">
        <v>147</v>
      </c>
      <c r="I42" s="121">
        <v>0</v>
      </c>
      <c r="J42" s="122">
        <f t="shared" si="1"/>
        <v>47645.004000000001</v>
      </c>
      <c r="K42" s="121">
        <v>0</v>
      </c>
      <c r="L42" s="122">
        <f t="shared" si="2"/>
        <v>8576.1007200000004</v>
      </c>
      <c r="M42" s="121">
        <v>0</v>
      </c>
      <c r="N42" s="122">
        <f t="shared" si="4"/>
        <v>39068.903279999999</v>
      </c>
      <c r="O42" s="123">
        <f t="shared" si="3"/>
        <v>39068.903279999999</v>
      </c>
    </row>
    <row r="43" spans="2:15" ht="15" thickBot="1">
      <c r="B43" s="116">
        <v>39</v>
      </c>
      <c r="C43" s="117">
        <v>46765.004000000001</v>
      </c>
      <c r="D43" s="117">
        <v>8417.7007200000007</v>
      </c>
      <c r="E43" s="118">
        <f t="shared" si="0"/>
        <v>38347.30328</v>
      </c>
      <c r="F43" s="119"/>
      <c r="H43" s="124" t="s">
        <v>148</v>
      </c>
      <c r="I43" s="121">
        <v>0</v>
      </c>
      <c r="J43" s="122">
        <f t="shared" si="1"/>
        <v>46765.004000000001</v>
      </c>
      <c r="K43" s="121">
        <v>0</v>
      </c>
      <c r="L43" s="122">
        <f t="shared" si="2"/>
        <v>8417.7007200000007</v>
      </c>
      <c r="M43" s="121">
        <v>0</v>
      </c>
      <c r="N43" s="122">
        <f t="shared" si="4"/>
        <v>38347.30328</v>
      </c>
      <c r="O43" s="123">
        <f t="shared" si="3"/>
        <v>38347.30328</v>
      </c>
    </row>
    <row r="44" spans="2:15">
      <c r="B44" s="116">
        <v>40</v>
      </c>
      <c r="C44" s="117">
        <v>45885.004000000001</v>
      </c>
      <c r="D44" s="117">
        <v>8259.3007199999993</v>
      </c>
      <c r="E44" s="118">
        <f t="shared" si="0"/>
        <v>37625.703280000002</v>
      </c>
      <c r="F44" s="119"/>
      <c r="H44" s="125" t="s">
        <v>149</v>
      </c>
      <c r="I44" s="121">
        <v>0</v>
      </c>
      <c r="J44" s="122">
        <f t="shared" si="1"/>
        <v>45885.004000000001</v>
      </c>
      <c r="K44" s="121">
        <v>0</v>
      </c>
      <c r="L44" s="122">
        <f t="shared" si="2"/>
        <v>8259.3007199999993</v>
      </c>
      <c r="M44" s="121">
        <v>0</v>
      </c>
      <c r="N44" s="122">
        <f t="shared" si="4"/>
        <v>37625.703280000002</v>
      </c>
      <c r="O44" s="123">
        <f t="shared" si="3"/>
        <v>37625.703280000002</v>
      </c>
    </row>
    <row r="45" spans="2:15">
      <c r="B45" s="126" t="s">
        <v>7</v>
      </c>
      <c r="C45" s="127">
        <f>SUM(C5:C44)</f>
        <v>2795189.6940071578</v>
      </c>
      <c r="D45" s="127">
        <f t="shared" ref="D45:E45" si="5">SUM(D5:D44)</f>
        <v>503134.14492128789</v>
      </c>
      <c r="E45" s="128">
        <f t="shared" si="5"/>
        <v>2292055.5490858671</v>
      </c>
      <c r="F45" s="119"/>
      <c r="H45" s="129" t="s">
        <v>26</v>
      </c>
      <c r="I45" s="130">
        <v>0</v>
      </c>
      <c r="J45" s="131">
        <f>SUM(J5:J44)</f>
        <v>2795189.6940071578</v>
      </c>
      <c r="K45" s="131">
        <f t="shared" ref="K45:O45" si="6">SUM(K5:K44)</f>
        <v>0</v>
      </c>
      <c r="L45" s="131">
        <f t="shared" si="6"/>
        <v>503134.14492128789</v>
      </c>
      <c r="M45" s="131">
        <f t="shared" si="6"/>
        <v>0</v>
      </c>
      <c r="N45" s="131">
        <f t="shared" si="6"/>
        <v>2292055.5490858671</v>
      </c>
      <c r="O45" s="132">
        <f t="shared" si="6"/>
        <v>2292055.5490858671</v>
      </c>
    </row>
    <row r="46" spans="2:15">
      <c r="I46" s="121"/>
      <c r="J46" s="133"/>
      <c r="K46" s="121"/>
      <c r="L46" s="133"/>
      <c r="M46" s="121"/>
      <c r="N46" s="133"/>
      <c r="O46" s="133"/>
    </row>
    <row r="47" spans="2:15">
      <c r="J47" s="122">
        <f>J45/COUNT(J5:J44)</f>
        <v>69879.742350178945</v>
      </c>
      <c r="O47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D24B-A89F-894B-A5BF-779C033461A3}">
  <dimension ref="B1:I48"/>
  <sheetViews>
    <sheetView topLeftCell="A33" zoomScaleNormal="100" workbookViewId="0">
      <selection activeCell="D38" sqref="D38"/>
    </sheetView>
  </sheetViews>
  <sheetFormatPr defaultColWidth="11.07421875" defaultRowHeight="14.6"/>
  <cols>
    <col min="1" max="1" width="5" customWidth="1"/>
    <col min="2" max="2" width="5.15234375" customWidth="1"/>
    <col min="9" max="9" width="10.84375" style="1"/>
  </cols>
  <sheetData>
    <row r="1" spans="2:9" ht="18.45">
      <c r="C1" s="21" t="s">
        <v>153</v>
      </c>
      <c r="D1" s="22"/>
      <c r="E1" s="22"/>
      <c r="F1" s="22"/>
      <c r="G1" s="22"/>
      <c r="H1" s="22"/>
      <c r="I1" s="74"/>
    </row>
    <row r="2" spans="2:9" s="41" customFormat="1">
      <c r="C2" s="41" t="s">
        <v>154</v>
      </c>
      <c r="I2" s="42"/>
    </row>
    <row r="3" spans="2:9">
      <c r="C3" s="25">
        <v>3957</v>
      </c>
      <c r="D3" t="s">
        <v>2</v>
      </c>
    </row>
    <row r="6" spans="2:9" ht="18.45">
      <c r="C6" s="21" t="s">
        <v>186</v>
      </c>
      <c r="D6" s="22"/>
      <c r="E6" s="22"/>
      <c r="F6" s="22"/>
      <c r="G6" s="22"/>
      <c r="H6" s="22"/>
      <c r="I6" s="74"/>
    </row>
    <row r="7" spans="2:9" s="41" customFormat="1">
      <c r="C7" s="41" t="s">
        <v>184</v>
      </c>
      <c r="I7" s="42"/>
    </row>
    <row r="8" spans="2:9">
      <c r="C8" s="33" t="s">
        <v>5</v>
      </c>
      <c r="D8" s="34" t="s">
        <v>181</v>
      </c>
      <c r="E8" s="34" t="s">
        <v>28</v>
      </c>
      <c r="F8" s="34" t="s">
        <v>7</v>
      </c>
      <c r="G8" s="35" t="s">
        <v>150</v>
      </c>
    </row>
    <row r="9" spans="2:9">
      <c r="B9" s="2">
        <v>1</v>
      </c>
      <c r="C9" s="36">
        <f t="shared" ref="C9:C11" si="0">C10-1</f>
        <v>2017</v>
      </c>
      <c r="D9" s="103">
        <v>267.16000000000008</v>
      </c>
      <c r="E9" s="103">
        <v>86.79</v>
      </c>
      <c r="F9" s="7">
        <f>D9+E9</f>
        <v>353.9500000000001</v>
      </c>
      <c r="G9" s="37">
        <f>F9</f>
        <v>353.9500000000001</v>
      </c>
      <c r="I9" s="1" t="s">
        <v>151</v>
      </c>
    </row>
    <row r="10" spans="2:9">
      <c r="B10" s="2">
        <f>B9+1</f>
        <v>2</v>
      </c>
      <c r="C10" s="36">
        <f t="shared" si="0"/>
        <v>2018</v>
      </c>
      <c r="D10" s="103">
        <v>100.89999999999999</v>
      </c>
      <c r="E10" s="103">
        <v>107.65</v>
      </c>
      <c r="F10" s="7">
        <f t="shared" ref="F10:F38" si="1">D10+E10</f>
        <v>208.55</v>
      </c>
      <c r="G10" s="37">
        <f>G9+F10</f>
        <v>562.50000000000011</v>
      </c>
      <c r="I10" s="1" t="s">
        <v>151</v>
      </c>
    </row>
    <row r="11" spans="2:9">
      <c r="B11" s="2">
        <f t="shared" ref="B11:B47" si="2">B10+1</f>
        <v>3</v>
      </c>
      <c r="C11" s="36">
        <f t="shared" si="0"/>
        <v>2019</v>
      </c>
      <c r="D11" s="103">
        <v>243.04000000000008</v>
      </c>
      <c r="E11" s="103">
        <v>1.18</v>
      </c>
      <c r="F11" s="7">
        <f t="shared" si="1"/>
        <v>244.22000000000008</v>
      </c>
      <c r="G11" s="37">
        <f t="shared" ref="G11:G38" si="3">G10+F11</f>
        <v>806.72000000000025</v>
      </c>
      <c r="I11" s="1" t="s">
        <v>151</v>
      </c>
    </row>
    <row r="12" spans="2:9">
      <c r="B12" s="2">
        <f t="shared" si="2"/>
        <v>4</v>
      </c>
      <c r="C12" s="36">
        <f>C13-1</f>
        <v>2020</v>
      </c>
      <c r="D12" s="103">
        <v>69.319999999999979</v>
      </c>
      <c r="E12" s="103">
        <v>41.86</v>
      </c>
      <c r="F12" s="7">
        <f t="shared" si="1"/>
        <v>111.17999999999998</v>
      </c>
      <c r="G12" s="37">
        <f t="shared" si="3"/>
        <v>917.9000000000002</v>
      </c>
      <c r="I12" s="1" t="s">
        <v>151</v>
      </c>
    </row>
    <row r="13" spans="2:9">
      <c r="B13" s="2">
        <f t="shared" si="2"/>
        <v>5</v>
      </c>
      <c r="C13" s="36">
        <v>2021</v>
      </c>
      <c r="D13" s="104">
        <v>142.29999999999998</v>
      </c>
      <c r="E13" s="105">
        <v>1.29</v>
      </c>
      <c r="F13" s="7">
        <f t="shared" si="1"/>
        <v>143.58999999999997</v>
      </c>
      <c r="G13" s="37">
        <f t="shared" si="3"/>
        <v>1061.4900000000002</v>
      </c>
      <c r="I13" s="1" t="s">
        <v>151</v>
      </c>
    </row>
    <row r="14" spans="2:9">
      <c r="B14" s="2">
        <f t="shared" si="2"/>
        <v>6</v>
      </c>
      <c r="C14" s="36">
        <f>C13+1</f>
        <v>2022</v>
      </c>
      <c r="D14" s="103">
        <v>35.19</v>
      </c>
      <c r="E14" s="103">
        <v>1.69</v>
      </c>
      <c r="F14" s="7">
        <f t="shared" si="1"/>
        <v>36.879999999999995</v>
      </c>
      <c r="G14" s="37">
        <f t="shared" si="3"/>
        <v>1098.3700000000003</v>
      </c>
      <c r="I14" s="1" t="s">
        <v>151</v>
      </c>
    </row>
    <row r="15" spans="2:9">
      <c r="B15" s="2">
        <f t="shared" si="2"/>
        <v>7</v>
      </c>
      <c r="C15" s="36">
        <f t="shared" ref="C15:C48" si="4">C14+1</f>
        <v>2023</v>
      </c>
      <c r="D15" s="103">
        <v>95.610000000000014</v>
      </c>
      <c r="E15" s="103">
        <v>8.77</v>
      </c>
      <c r="F15" s="7">
        <f t="shared" si="1"/>
        <v>104.38000000000001</v>
      </c>
      <c r="G15" s="37">
        <f t="shared" si="3"/>
        <v>1202.7500000000005</v>
      </c>
      <c r="I15" s="1" t="s">
        <v>151</v>
      </c>
    </row>
    <row r="16" spans="2:9">
      <c r="B16" s="2">
        <f t="shared" si="2"/>
        <v>8</v>
      </c>
      <c r="C16" s="36">
        <f t="shared" si="4"/>
        <v>2024</v>
      </c>
      <c r="D16" s="103">
        <v>36.410000000000018</v>
      </c>
      <c r="E16" s="103">
        <v>3.4399999999999995</v>
      </c>
      <c r="F16" s="7">
        <f t="shared" si="1"/>
        <v>39.850000000000016</v>
      </c>
      <c r="G16" s="37">
        <f t="shared" si="3"/>
        <v>1242.6000000000004</v>
      </c>
      <c r="I16" s="1" t="s">
        <v>151</v>
      </c>
    </row>
    <row r="17" spans="2:9">
      <c r="B17" s="2">
        <f t="shared" si="2"/>
        <v>9</v>
      </c>
      <c r="C17" s="36">
        <f t="shared" si="4"/>
        <v>2025</v>
      </c>
      <c r="D17" s="103">
        <v>62.52</v>
      </c>
      <c r="E17" s="103"/>
      <c r="F17" s="7">
        <f t="shared" si="1"/>
        <v>62.52</v>
      </c>
      <c r="G17" s="37">
        <f t="shared" si="3"/>
        <v>1305.1200000000003</v>
      </c>
      <c r="I17" s="1" t="s">
        <v>151</v>
      </c>
    </row>
    <row r="18" spans="2:9">
      <c r="B18" s="2">
        <f t="shared" si="2"/>
        <v>10</v>
      </c>
      <c r="C18" s="36">
        <f t="shared" si="4"/>
        <v>2026</v>
      </c>
      <c r="D18" s="106">
        <v>300</v>
      </c>
      <c r="E18" s="7"/>
      <c r="F18" s="7">
        <f t="shared" si="1"/>
        <v>300</v>
      </c>
      <c r="G18" s="37">
        <f t="shared" si="3"/>
        <v>1605.1200000000003</v>
      </c>
      <c r="I18" s="1" t="s">
        <v>152</v>
      </c>
    </row>
    <row r="19" spans="2:9">
      <c r="B19" s="2">
        <f t="shared" si="2"/>
        <v>11</v>
      </c>
      <c r="C19" s="36">
        <f t="shared" si="4"/>
        <v>2027</v>
      </c>
      <c r="D19" s="106">
        <v>300</v>
      </c>
      <c r="E19" s="7"/>
      <c r="F19" s="7">
        <f t="shared" si="1"/>
        <v>300</v>
      </c>
      <c r="G19" s="37">
        <f t="shared" si="3"/>
        <v>1905.1200000000003</v>
      </c>
      <c r="I19" s="1" t="s">
        <v>152</v>
      </c>
    </row>
    <row r="20" spans="2:9">
      <c r="B20" s="2">
        <f t="shared" si="2"/>
        <v>12</v>
      </c>
      <c r="C20" s="36">
        <f t="shared" si="4"/>
        <v>2028</v>
      </c>
      <c r="D20" s="106">
        <v>300</v>
      </c>
      <c r="E20" s="7"/>
      <c r="F20" s="7">
        <f t="shared" si="1"/>
        <v>300</v>
      </c>
      <c r="G20" s="37">
        <f t="shared" si="3"/>
        <v>2205.1200000000003</v>
      </c>
      <c r="I20" s="1" t="s">
        <v>152</v>
      </c>
    </row>
    <row r="21" spans="2:9">
      <c r="B21" s="2">
        <f t="shared" si="2"/>
        <v>13</v>
      </c>
      <c r="C21" s="36">
        <f t="shared" si="4"/>
        <v>2029</v>
      </c>
      <c r="D21" s="106">
        <v>300</v>
      </c>
      <c r="E21" s="7"/>
      <c r="F21" s="7">
        <f t="shared" si="1"/>
        <v>300</v>
      </c>
      <c r="G21" s="37">
        <f t="shared" si="3"/>
        <v>2505.1200000000003</v>
      </c>
      <c r="I21" s="1" t="s">
        <v>152</v>
      </c>
    </row>
    <row r="22" spans="2:9">
      <c r="B22" s="2">
        <f t="shared" si="2"/>
        <v>14</v>
      </c>
      <c r="C22" s="36">
        <f t="shared" si="4"/>
        <v>2030</v>
      </c>
      <c r="D22" s="106">
        <v>300</v>
      </c>
      <c r="E22" s="7"/>
      <c r="F22" s="7">
        <f t="shared" si="1"/>
        <v>300</v>
      </c>
      <c r="G22" s="37">
        <f t="shared" si="3"/>
        <v>2805.1200000000003</v>
      </c>
      <c r="I22" s="1" t="s">
        <v>152</v>
      </c>
    </row>
    <row r="23" spans="2:9">
      <c r="B23" s="2">
        <f t="shared" si="2"/>
        <v>15</v>
      </c>
      <c r="C23" s="36">
        <f t="shared" si="4"/>
        <v>2031</v>
      </c>
      <c r="D23" s="106">
        <v>300</v>
      </c>
      <c r="E23" s="7"/>
      <c r="F23" s="7">
        <f t="shared" si="1"/>
        <v>300</v>
      </c>
      <c r="G23" s="37">
        <f t="shared" si="3"/>
        <v>3105.1200000000003</v>
      </c>
      <c r="I23" s="1" t="s">
        <v>152</v>
      </c>
    </row>
    <row r="24" spans="2:9">
      <c r="B24" s="2">
        <f t="shared" si="2"/>
        <v>16</v>
      </c>
      <c r="C24" s="36">
        <f t="shared" si="4"/>
        <v>2032</v>
      </c>
      <c r="D24" s="106">
        <v>300</v>
      </c>
      <c r="E24" s="7"/>
      <c r="F24" s="7">
        <f t="shared" si="1"/>
        <v>300</v>
      </c>
      <c r="G24" s="37">
        <f t="shared" si="3"/>
        <v>3405.1200000000003</v>
      </c>
      <c r="I24" s="1" t="s">
        <v>152</v>
      </c>
    </row>
    <row r="25" spans="2:9">
      <c r="B25" s="2">
        <f t="shared" si="2"/>
        <v>17</v>
      </c>
      <c r="C25" s="36">
        <f t="shared" si="4"/>
        <v>2033</v>
      </c>
      <c r="D25" s="106">
        <v>300</v>
      </c>
      <c r="E25" s="7"/>
      <c r="F25" s="7">
        <f t="shared" si="1"/>
        <v>300</v>
      </c>
      <c r="G25" s="37">
        <f t="shared" si="3"/>
        <v>3705.1200000000003</v>
      </c>
      <c r="I25" s="1" t="s">
        <v>152</v>
      </c>
    </row>
    <row r="26" spans="2:9">
      <c r="B26" s="2">
        <f t="shared" si="2"/>
        <v>18</v>
      </c>
      <c r="C26" s="36">
        <f t="shared" si="4"/>
        <v>2034</v>
      </c>
      <c r="D26" s="106">
        <v>300</v>
      </c>
      <c r="E26" s="7"/>
      <c r="F26" s="7">
        <f t="shared" si="1"/>
        <v>300</v>
      </c>
      <c r="G26" s="37">
        <f t="shared" si="3"/>
        <v>4005.1200000000003</v>
      </c>
      <c r="I26" s="1" t="s">
        <v>152</v>
      </c>
    </row>
    <row r="27" spans="2:9">
      <c r="B27" s="2">
        <f t="shared" si="2"/>
        <v>19</v>
      </c>
      <c r="C27" s="36">
        <f t="shared" si="4"/>
        <v>2035</v>
      </c>
      <c r="D27" s="106">
        <v>300</v>
      </c>
      <c r="E27" s="7"/>
      <c r="F27" s="7">
        <f t="shared" si="1"/>
        <v>300</v>
      </c>
      <c r="G27" s="37">
        <f t="shared" si="3"/>
        <v>4305.1200000000008</v>
      </c>
      <c r="I27" s="1" t="s">
        <v>152</v>
      </c>
    </row>
    <row r="28" spans="2:9">
      <c r="B28" s="2">
        <f t="shared" si="2"/>
        <v>20</v>
      </c>
      <c r="C28" s="36">
        <f t="shared" si="4"/>
        <v>2036</v>
      </c>
      <c r="D28" s="106">
        <v>300</v>
      </c>
      <c r="E28" s="7"/>
      <c r="F28" s="7">
        <f t="shared" si="1"/>
        <v>300</v>
      </c>
      <c r="G28" s="37">
        <f t="shared" si="3"/>
        <v>4605.1200000000008</v>
      </c>
      <c r="I28" s="1" t="s">
        <v>152</v>
      </c>
    </row>
    <row r="29" spans="2:9">
      <c r="B29" s="2">
        <f t="shared" si="2"/>
        <v>21</v>
      </c>
      <c r="C29" s="36">
        <f t="shared" si="4"/>
        <v>2037</v>
      </c>
      <c r="D29" s="106">
        <v>300</v>
      </c>
      <c r="E29" s="7"/>
      <c r="F29" s="7">
        <f t="shared" si="1"/>
        <v>300</v>
      </c>
      <c r="G29" s="37">
        <f t="shared" si="3"/>
        <v>4905.1200000000008</v>
      </c>
      <c r="I29" s="1" t="s">
        <v>152</v>
      </c>
    </row>
    <row r="30" spans="2:9">
      <c r="B30" s="2">
        <f t="shared" si="2"/>
        <v>22</v>
      </c>
      <c r="C30" s="36">
        <f t="shared" si="4"/>
        <v>2038</v>
      </c>
      <c r="D30" s="106">
        <v>300</v>
      </c>
      <c r="E30" s="7"/>
      <c r="F30" s="7">
        <f t="shared" si="1"/>
        <v>300</v>
      </c>
      <c r="G30" s="37">
        <f t="shared" si="3"/>
        <v>5205.1200000000008</v>
      </c>
      <c r="I30" s="1" t="s">
        <v>152</v>
      </c>
    </row>
    <row r="31" spans="2:9">
      <c r="B31" s="2">
        <f t="shared" si="2"/>
        <v>23</v>
      </c>
      <c r="C31" s="36">
        <f t="shared" si="4"/>
        <v>2039</v>
      </c>
      <c r="D31" s="106">
        <v>300</v>
      </c>
      <c r="E31" s="7"/>
      <c r="F31" s="7">
        <f t="shared" si="1"/>
        <v>300</v>
      </c>
      <c r="G31" s="37">
        <f t="shared" si="3"/>
        <v>5505.1200000000008</v>
      </c>
      <c r="I31" s="1" t="s">
        <v>152</v>
      </c>
    </row>
    <row r="32" spans="2:9">
      <c r="B32" s="2">
        <f t="shared" si="2"/>
        <v>24</v>
      </c>
      <c r="C32" s="36">
        <f t="shared" si="4"/>
        <v>2040</v>
      </c>
      <c r="D32" s="106">
        <v>300</v>
      </c>
      <c r="E32" s="7"/>
      <c r="F32" s="7">
        <f t="shared" si="1"/>
        <v>300</v>
      </c>
      <c r="G32" s="37">
        <f t="shared" si="3"/>
        <v>5805.1200000000008</v>
      </c>
      <c r="I32" s="1" t="s">
        <v>152</v>
      </c>
    </row>
    <row r="33" spans="2:9">
      <c r="B33" s="2">
        <f t="shared" si="2"/>
        <v>25</v>
      </c>
      <c r="C33" s="36">
        <f t="shared" si="4"/>
        <v>2041</v>
      </c>
      <c r="D33" s="106">
        <v>300</v>
      </c>
      <c r="E33" s="7"/>
      <c r="F33" s="7">
        <f t="shared" si="1"/>
        <v>300</v>
      </c>
      <c r="G33" s="37">
        <f t="shared" si="3"/>
        <v>6105.1200000000008</v>
      </c>
      <c r="I33" s="1" t="s">
        <v>152</v>
      </c>
    </row>
    <row r="34" spans="2:9">
      <c r="B34" s="2">
        <f t="shared" si="2"/>
        <v>26</v>
      </c>
      <c r="C34" s="36">
        <f t="shared" si="4"/>
        <v>2042</v>
      </c>
      <c r="D34" s="106">
        <v>300</v>
      </c>
      <c r="E34" s="7"/>
      <c r="F34" s="7">
        <f t="shared" si="1"/>
        <v>300</v>
      </c>
      <c r="G34" s="37">
        <f t="shared" si="3"/>
        <v>6405.1200000000008</v>
      </c>
      <c r="I34" s="1" t="s">
        <v>152</v>
      </c>
    </row>
    <row r="35" spans="2:9">
      <c r="B35" s="2">
        <f t="shared" si="2"/>
        <v>27</v>
      </c>
      <c r="C35" s="36">
        <f t="shared" si="4"/>
        <v>2043</v>
      </c>
      <c r="D35" s="106">
        <v>300</v>
      </c>
      <c r="E35" s="7"/>
      <c r="F35" s="7">
        <f t="shared" si="1"/>
        <v>300</v>
      </c>
      <c r="G35" s="37">
        <f t="shared" si="3"/>
        <v>6705.1200000000008</v>
      </c>
      <c r="I35" s="1" t="s">
        <v>152</v>
      </c>
    </row>
    <row r="36" spans="2:9">
      <c r="B36" s="2">
        <f t="shared" si="2"/>
        <v>28</v>
      </c>
      <c r="C36" s="36">
        <f t="shared" si="4"/>
        <v>2044</v>
      </c>
      <c r="D36" s="106">
        <v>300</v>
      </c>
      <c r="E36" s="7"/>
      <c r="F36" s="7">
        <f t="shared" si="1"/>
        <v>300</v>
      </c>
      <c r="G36" s="37">
        <f t="shared" si="3"/>
        <v>7005.1200000000008</v>
      </c>
      <c r="I36" s="1" t="s">
        <v>152</v>
      </c>
    </row>
    <row r="37" spans="2:9">
      <c r="B37" s="2">
        <f t="shared" si="2"/>
        <v>29</v>
      </c>
      <c r="C37" s="36">
        <f t="shared" si="4"/>
        <v>2045</v>
      </c>
      <c r="D37" s="106">
        <v>300</v>
      </c>
      <c r="E37" s="7"/>
      <c r="F37" s="7">
        <f t="shared" si="1"/>
        <v>300</v>
      </c>
      <c r="G37" s="37">
        <f t="shared" si="3"/>
        <v>7305.1200000000008</v>
      </c>
      <c r="I37" s="1" t="s">
        <v>152</v>
      </c>
    </row>
    <row r="38" spans="2:9">
      <c r="B38" s="2">
        <f t="shared" si="2"/>
        <v>30</v>
      </c>
      <c r="C38" s="36">
        <f t="shared" si="4"/>
        <v>2046</v>
      </c>
      <c r="D38" s="106">
        <v>300</v>
      </c>
      <c r="E38" s="7"/>
      <c r="F38" s="7">
        <f t="shared" si="1"/>
        <v>300</v>
      </c>
      <c r="G38" s="37">
        <f t="shared" si="3"/>
        <v>7605.1200000000008</v>
      </c>
      <c r="I38" s="1" t="s">
        <v>152</v>
      </c>
    </row>
    <row r="39" spans="2:9">
      <c r="B39" s="2">
        <f t="shared" si="2"/>
        <v>31</v>
      </c>
      <c r="C39" s="36">
        <f t="shared" si="4"/>
        <v>2047</v>
      </c>
      <c r="D39" s="7"/>
      <c r="E39" s="7"/>
      <c r="F39" s="7">
        <f t="shared" ref="F39:F48" si="5">D39+E39</f>
        <v>0</v>
      </c>
      <c r="G39" s="37">
        <f t="shared" ref="G39:G48" si="6">G38+F39</f>
        <v>7605.1200000000008</v>
      </c>
      <c r="I39" s="1" t="s">
        <v>152</v>
      </c>
    </row>
    <row r="40" spans="2:9">
      <c r="B40" s="2">
        <f t="shared" si="2"/>
        <v>32</v>
      </c>
      <c r="C40" s="36">
        <f t="shared" si="4"/>
        <v>2048</v>
      </c>
      <c r="D40" s="7"/>
      <c r="E40" s="7"/>
      <c r="F40" s="7">
        <f t="shared" si="5"/>
        <v>0</v>
      </c>
      <c r="G40" s="37">
        <f t="shared" si="6"/>
        <v>7605.1200000000008</v>
      </c>
      <c r="I40" s="1" t="s">
        <v>152</v>
      </c>
    </row>
    <row r="41" spans="2:9">
      <c r="B41" s="2">
        <f t="shared" si="2"/>
        <v>33</v>
      </c>
      <c r="C41" s="36">
        <f t="shared" si="4"/>
        <v>2049</v>
      </c>
      <c r="D41" s="7"/>
      <c r="E41" s="7"/>
      <c r="F41" s="7">
        <f t="shared" si="5"/>
        <v>0</v>
      </c>
      <c r="G41" s="37">
        <f t="shared" si="6"/>
        <v>7605.1200000000008</v>
      </c>
      <c r="I41" s="1" t="s">
        <v>152</v>
      </c>
    </row>
    <row r="42" spans="2:9">
      <c r="B42" s="2">
        <f t="shared" si="2"/>
        <v>34</v>
      </c>
      <c r="C42" s="36">
        <f t="shared" si="4"/>
        <v>2050</v>
      </c>
      <c r="D42" s="7"/>
      <c r="E42" s="7"/>
      <c r="F42" s="7">
        <f t="shared" si="5"/>
        <v>0</v>
      </c>
      <c r="G42" s="37">
        <f t="shared" si="6"/>
        <v>7605.1200000000008</v>
      </c>
      <c r="I42" s="1" t="s">
        <v>152</v>
      </c>
    </row>
    <row r="43" spans="2:9">
      <c r="B43" s="2">
        <f t="shared" si="2"/>
        <v>35</v>
      </c>
      <c r="C43" s="36">
        <f t="shared" si="4"/>
        <v>2051</v>
      </c>
      <c r="D43" s="7"/>
      <c r="E43" s="7"/>
      <c r="F43" s="7">
        <f t="shared" si="5"/>
        <v>0</v>
      </c>
      <c r="G43" s="37">
        <f t="shared" si="6"/>
        <v>7605.1200000000008</v>
      </c>
      <c r="I43" s="1" t="s">
        <v>152</v>
      </c>
    </row>
    <row r="44" spans="2:9">
      <c r="B44" s="2">
        <f>B43+1</f>
        <v>36</v>
      </c>
      <c r="C44" s="36">
        <f t="shared" si="4"/>
        <v>2052</v>
      </c>
      <c r="D44" s="7"/>
      <c r="E44" s="7"/>
      <c r="F44" s="7">
        <f t="shared" si="5"/>
        <v>0</v>
      </c>
      <c r="G44" s="37">
        <f t="shared" si="6"/>
        <v>7605.1200000000008</v>
      </c>
      <c r="I44" s="1" t="s">
        <v>152</v>
      </c>
    </row>
    <row r="45" spans="2:9">
      <c r="B45" s="2">
        <f t="shared" si="2"/>
        <v>37</v>
      </c>
      <c r="C45" s="36">
        <f t="shared" si="4"/>
        <v>2053</v>
      </c>
      <c r="D45" s="7"/>
      <c r="E45" s="7"/>
      <c r="F45" s="7">
        <f t="shared" si="5"/>
        <v>0</v>
      </c>
      <c r="G45" s="37">
        <f t="shared" si="6"/>
        <v>7605.1200000000008</v>
      </c>
      <c r="I45" s="1" t="s">
        <v>152</v>
      </c>
    </row>
    <row r="46" spans="2:9">
      <c r="B46" s="2">
        <f t="shared" si="2"/>
        <v>38</v>
      </c>
      <c r="C46" s="36">
        <f t="shared" si="4"/>
        <v>2054</v>
      </c>
      <c r="D46" s="7"/>
      <c r="E46" s="7"/>
      <c r="F46" s="7">
        <f t="shared" si="5"/>
        <v>0</v>
      </c>
      <c r="G46" s="37">
        <f t="shared" si="6"/>
        <v>7605.1200000000008</v>
      </c>
      <c r="I46" s="1" t="s">
        <v>152</v>
      </c>
    </row>
    <row r="47" spans="2:9">
      <c r="B47" s="2">
        <f t="shared" si="2"/>
        <v>39</v>
      </c>
      <c r="C47" s="36">
        <f t="shared" si="4"/>
        <v>2055</v>
      </c>
      <c r="D47" s="7"/>
      <c r="E47" s="7"/>
      <c r="F47" s="7">
        <f t="shared" si="5"/>
        <v>0</v>
      </c>
      <c r="G47" s="37">
        <f t="shared" si="6"/>
        <v>7605.1200000000008</v>
      </c>
      <c r="I47" s="1" t="s">
        <v>152</v>
      </c>
    </row>
    <row r="48" spans="2:9">
      <c r="B48" s="102">
        <f>B47+1</f>
        <v>40</v>
      </c>
      <c r="C48" s="38">
        <f t="shared" si="4"/>
        <v>2056</v>
      </c>
      <c r="D48" s="39"/>
      <c r="E48" s="39"/>
      <c r="F48" s="39">
        <f t="shared" si="5"/>
        <v>0</v>
      </c>
      <c r="G48" s="40">
        <f t="shared" si="6"/>
        <v>7605.1200000000008</v>
      </c>
      <c r="I48" s="1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C469-916D-2940-8AE2-66E3865862FE}">
  <dimension ref="B2:AC70"/>
  <sheetViews>
    <sheetView topLeftCell="A21" zoomScale="120" zoomScaleNormal="120" workbookViewId="0">
      <selection activeCell="C48" sqref="C48"/>
    </sheetView>
  </sheetViews>
  <sheetFormatPr defaultColWidth="10.84375" defaultRowHeight="14.6"/>
  <cols>
    <col min="3" max="17" width="12.84375" customWidth="1"/>
  </cols>
  <sheetData>
    <row r="2" spans="2:29" ht="15.9">
      <c r="B2" s="8" t="s">
        <v>176</v>
      </c>
      <c r="C2" s="4"/>
    </row>
    <row r="3" spans="2:29">
      <c r="B3" s="153" t="s">
        <v>155</v>
      </c>
      <c r="C3" s="153"/>
      <c r="D3" s="154"/>
      <c r="E3" s="154"/>
      <c r="F3" s="154"/>
      <c r="G3" s="154"/>
      <c r="H3" s="154"/>
      <c r="I3" s="154"/>
      <c r="J3" s="154"/>
      <c r="K3" s="154"/>
      <c r="L3" s="154"/>
    </row>
    <row r="4" spans="2:29">
      <c r="B4" s="4" t="s">
        <v>156</v>
      </c>
      <c r="C4" s="4" t="s">
        <v>157</v>
      </c>
    </row>
    <row r="5" spans="2:29">
      <c r="B5" s="4" t="s">
        <v>158</v>
      </c>
      <c r="C5" s="155" t="s">
        <v>159</v>
      </c>
    </row>
    <row r="6" spans="2:29">
      <c r="B6" s="153" t="s">
        <v>160</v>
      </c>
      <c r="C6" s="156">
        <v>0.48699999999999999</v>
      </c>
      <c r="D6" s="153" t="s">
        <v>161</v>
      </c>
      <c r="E6" s="154"/>
      <c r="F6" s="154"/>
    </row>
    <row r="7" spans="2:29" ht="15" thickBot="1">
      <c r="C7" s="43"/>
    </row>
    <row r="8" spans="2:29" ht="15" thickBot="1">
      <c r="B8" s="157"/>
      <c r="C8" s="158" t="s">
        <v>162</v>
      </c>
      <c r="D8" s="44"/>
      <c r="E8" s="159" t="s">
        <v>163</v>
      </c>
      <c r="F8" s="160"/>
      <c r="G8" s="160"/>
      <c r="H8" s="160"/>
      <c r="I8" s="160"/>
      <c r="J8" s="161"/>
      <c r="K8" s="45"/>
      <c r="L8" s="46"/>
      <c r="M8" s="47" t="s">
        <v>164</v>
      </c>
      <c r="N8" s="47"/>
      <c r="O8" s="47"/>
      <c r="P8" s="47"/>
      <c r="Q8" s="48"/>
    </row>
    <row r="9" spans="2:29" ht="15">
      <c r="B9" s="162" t="s">
        <v>12</v>
      </c>
      <c r="C9" s="163" t="s">
        <v>165</v>
      </c>
      <c r="D9" s="164" t="s">
        <v>166</v>
      </c>
      <c r="E9" s="165" t="s">
        <v>167</v>
      </c>
      <c r="F9" s="166" t="s">
        <v>168</v>
      </c>
      <c r="G9" s="166" t="s">
        <v>169</v>
      </c>
      <c r="H9" s="166" t="s">
        <v>170</v>
      </c>
      <c r="I9" s="167" t="s">
        <v>171</v>
      </c>
      <c r="J9" s="164" t="s">
        <v>172</v>
      </c>
      <c r="K9" s="164" t="s">
        <v>173</v>
      </c>
      <c r="L9" s="168" t="s">
        <v>174</v>
      </c>
      <c r="M9" s="164"/>
      <c r="N9" s="164"/>
      <c r="O9" s="169"/>
      <c r="P9" s="164" t="s">
        <v>209</v>
      </c>
      <c r="Q9" s="170"/>
      <c r="T9" s="171"/>
      <c r="U9" s="171"/>
      <c r="V9" s="171"/>
      <c r="W9" s="171"/>
      <c r="X9" s="171"/>
      <c r="Y9" s="171"/>
      <c r="Z9" s="171"/>
      <c r="AA9" s="171"/>
      <c r="AB9" s="171"/>
      <c r="AC9" s="171"/>
    </row>
    <row r="10" spans="2:29">
      <c r="B10" s="172" t="s">
        <v>175</v>
      </c>
      <c r="C10" s="173" t="s">
        <v>210</v>
      </c>
      <c r="D10" s="174" t="s">
        <v>211</v>
      </c>
      <c r="E10" s="173" t="s">
        <v>212</v>
      </c>
      <c r="F10" s="174" t="s">
        <v>213</v>
      </c>
      <c r="G10" s="174" t="s">
        <v>213</v>
      </c>
      <c r="H10" s="174" t="s">
        <v>213</v>
      </c>
      <c r="I10" s="175" t="s">
        <v>213</v>
      </c>
      <c r="J10" s="174" t="s">
        <v>213</v>
      </c>
      <c r="K10" s="174" t="s">
        <v>212</v>
      </c>
      <c r="L10" s="173" t="s">
        <v>212</v>
      </c>
      <c r="M10" s="174" t="s">
        <v>214</v>
      </c>
      <c r="N10" s="174" t="s">
        <v>215</v>
      </c>
      <c r="O10" s="176" t="s">
        <v>213</v>
      </c>
      <c r="P10" s="174" t="s">
        <v>214</v>
      </c>
      <c r="Q10" s="177" t="s">
        <v>216</v>
      </c>
    </row>
    <row r="11" spans="2:29">
      <c r="B11" s="178">
        <v>1</v>
      </c>
      <c r="C11" s="179">
        <v>0</v>
      </c>
      <c r="D11" s="180">
        <f>C11/B11</f>
        <v>0</v>
      </c>
      <c r="E11" s="181">
        <f>C11*$C$6</f>
        <v>0</v>
      </c>
      <c r="F11" s="182">
        <f t="shared" ref="F11:F30" si="0">6.396-5.812/(1+0.008008*C11)+0.034011*C11</f>
        <v>0.58399999999999963</v>
      </c>
      <c r="G11" s="182">
        <v>0</v>
      </c>
      <c r="H11" s="182">
        <v>0</v>
      </c>
      <c r="I11" s="183">
        <f>SUM(E11:H11)</f>
        <v>0.58399999999999963</v>
      </c>
      <c r="J11" s="180">
        <f t="shared" ref="J11:J30" si="1">0.25*I11</f>
        <v>0.14599999999999991</v>
      </c>
      <c r="K11" s="184">
        <f>SUM(I11)*1.25</f>
        <v>0.72999999999999954</v>
      </c>
      <c r="L11" s="185">
        <f>K11*0.47</f>
        <v>0.34309999999999974</v>
      </c>
      <c r="M11" s="184">
        <f>L11/B11</f>
        <v>0.34309999999999974</v>
      </c>
      <c r="N11" s="180">
        <f>M11</f>
        <v>0.34309999999999974</v>
      </c>
      <c r="O11" s="186">
        <f t="shared" ref="O11:O30" si="2">L11*3.667</f>
        <v>1.258147699999999</v>
      </c>
      <c r="P11" s="180">
        <f t="shared" ref="P11:P30" si="3">O11/B11</f>
        <v>1.258147699999999</v>
      </c>
      <c r="Q11" s="187">
        <v>0</v>
      </c>
    </row>
    <row r="12" spans="2:29">
      <c r="B12" s="178">
        <v>2</v>
      </c>
      <c r="C12" s="179">
        <v>19.190000000000001</v>
      </c>
      <c r="D12" s="180">
        <f t="shared" ref="D12:D30" si="4">C12/B12</f>
        <v>9.5950000000000006</v>
      </c>
      <c r="E12" s="181">
        <f>C12*$C$6</f>
        <v>9.3455300000000001</v>
      </c>
      <c r="F12" s="180">
        <f t="shared" si="0"/>
        <v>2.0108506847955878</v>
      </c>
      <c r="G12" s="180">
        <f t="shared" ref="G12:G30" si="5">EXP(0.19408*LN(C12)+1.510442)</f>
        <v>8.0351838276293144</v>
      </c>
      <c r="H12" s="180">
        <f t="shared" ref="H12:H30" si="6">EXP(0.12038*LN(C12)+0.966132)</f>
        <v>3.7500957955654552</v>
      </c>
      <c r="I12" s="183">
        <f>SUM(E12:H12)</f>
        <v>23.141660307990357</v>
      </c>
      <c r="J12" s="180">
        <f t="shared" si="1"/>
        <v>5.7854150769975892</v>
      </c>
      <c r="K12" s="180">
        <f t="shared" ref="K12:K30" si="7">SUM(I12)*1.25</f>
        <v>28.927075384987944</v>
      </c>
      <c r="L12" s="188">
        <f>K12*0.47</f>
        <v>13.595725430944333</v>
      </c>
      <c r="M12" s="180">
        <f t="shared" ref="M12:M30" si="8">L12/B12</f>
        <v>6.7978627154721663</v>
      </c>
      <c r="N12" s="180">
        <f>L12-L11</f>
        <v>13.252625430944333</v>
      </c>
      <c r="O12" s="186">
        <f>L12*3.667</f>
        <v>49.855525155272865</v>
      </c>
      <c r="P12" s="180">
        <f t="shared" si="3"/>
        <v>24.927762577636432</v>
      </c>
      <c r="Q12" s="187">
        <f>O12-O11</f>
        <v>48.597377455272863</v>
      </c>
    </row>
    <row r="13" spans="2:29">
      <c r="B13" s="178">
        <v>3</v>
      </c>
      <c r="C13" s="179">
        <v>79.599999999999994</v>
      </c>
      <c r="D13" s="180">
        <f>C13/B13</f>
        <v>26.533333333333331</v>
      </c>
      <c r="E13" s="181">
        <f>C13*$C$6</f>
        <v>38.765199999999993</v>
      </c>
      <c r="F13" s="180">
        <f>6.396-5.812/(1+0.008008*C13)+0.034011*C13</f>
        <v>5.5538256303889586</v>
      </c>
      <c r="G13" s="180">
        <f t="shared" si="5"/>
        <v>10.590240771968789</v>
      </c>
      <c r="H13" s="180">
        <f t="shared" si="6"/>
        <v>4.4505912676974653</v>
      </c>
      <c r="I13" s="183">
        <f t="shared" ref="I13:I30" si="9">SUM(E13:H13)</f>
        <v>59.359857670055206</v>
      </c>
      <c r="J13" s="180">
        <f t="shared" si="1"/>
        <v>14.839964417513801</v>
      </c>
      <c r="K13" s="180">
        <f>SUM(I13)*1.25</f>
        <v>74.199822087569004</v>
      </c>
      <c r="L13" s="188">
        <f>K13*0.47</f>
        <v>34.873916381157429</v>
      </c>
      <c r="M13" s="180">
        <f t="shared" si="8"/>
        <v>11.624638793719143</v>
      </c>
      <c r="N13" s="180">
        <f t="shared" ref="N13:N30" si="10">L13-L12</f>
        <v>21.278190950213094</v>
      </c>
      <c r="O13" s="186">
        <f t="shared" si="2"/>
        <v>127.88265136970429</v>
      </c>
      <c r="P13" s="180">
        <f t="shared" si="3"/>
        <v>42.627550456568095</v>
      </c>
      <c r="Q13" s="187">
        <f t="shared" ref="Q13:Q30" si="11">O13-O12</f>
        <v>78.027126214431433</v>
      </c>
    </row>
    <row r="14" spans="2:29">
      <c r="B14" s="178">
        <v>4</v>
      </c>
      <c r="C14" s="179">
        <v>138.58000000000001</v>
      </c>
      <c r="D14" s="180">
        <f t="shared" si="4"/>
        <v>34.645000000000003</v>
      </c>
      <c r="E14" s="181">
        <f t="shared" ref="E14:E30" si="12">C14*$C$6</f>
        <v>67.488460000000003</v>
      </c>
      <c r="F14" s="180">
        <f t="shared" si="0"/>
        <v>8.3544138329827984</v>
      </c>
      <c r="G14" s="180">
        <f t="shared" si="5"/>
        <v>11.793368528716616</v>
      </c>
      <c r="H14" s="180">
        <f t="shared" si="6"/>
        <v>4.7577729128266277</v>
      </c>
      <c r="I14" s="183">
        <f t="shared" si="9"/>
        <v>92.394015274526041</v>
      </c>
      <c r="J14" s="180">
        <f t="shared" si="1"/>
        <v>23.09850381863151</v>
      </c>
      <c r="K14" s="180">
        <f t="shared" si="7"/>
        <v>115.49251909315755</v>
      </c>
      <c r="L14" s="188">
        <f t="shared" ref="L14:L30" si="13">K14*0.47</f>
        <v>54.281483973784049</v>
      </c>
      <c r="M14" s="180">
        <f t="shared" si="8"/>
        <v>13.570370993446012</v>
      </c>
      <c r="N14" s="180">
        <f t="shared" si="10"/>
        <v>19.40756759262662</v>
      </c>
      <c r="O14" s="186">
        <f t="shared" si="2"/>
        <v>199.05020173186611</v>
      </c>
      <c r="P14" s="180">
        <f t="shared" si="3"/>
        <v>49.762550432966528</v>
      </c>
      <c r="Q14" s="187">
        <f t="shared" si="11"/>
        <v>71.167550362161819</v>
      </c>
    </row>
    <row r="15" spans="2:29">
      <c r="B15" s="178">
        <v>5</v>
      </c>
      <c r="C15" s="179">
        <v>195.5</v>
      </c>
      <c r="D15" s="180">
        <f>C15/B15</f>
        <v>39.1</v>
      </c>
      <c r="E15" s="181">
        <f t="shared" si="12"/>
        <v>95.208500000000001</v>
      </c>
      <c r="F15" s="180">
        <f t="shared" si="0"/>
        <v>10.779761681011271</v>
      </c>
      <c r="G15" s="180">
        <f t="shared" si="5"/>
        <v>12.607889369362324</v>
      </c>
      <c r="H15" s="180">
        <f t="shared" si="6"/>
        <v>4.9589992609515336</v>
      </c>
      <c r="I15" s="183">
        <f t="shared" si="9"/>
        <v>123.55515031132512</v>
      </c>
      <c r="J15" s="180">
        <f t="shared" si="1"/>
        <v>30.88878757783128</v>
      </c>
      <c r="K15" s="180">
        <f t="shared" si="7"/>
        <v>154.44393788915642</v>
      </c>
      <c r="L15" s="188">
        <f t="shared" si="13"/>
        <v>72.588650807903505</v>
      </c>
      <c r="M15" s="180">
        <f t="shared" si="8"/>
        <v>14.517730161580701</v>
      </c>
      <c r="N15" s="180">
        <f t="shared" si="10"/>
        <v>18.307166834119457</v>
      </c>
      <c r="O15" s="186">
        <f t="shared" si="2"/>
        <v>266.18258251258214</v>
      </c>
      <c r="P15" s="180">
        <f t="shared" si="3"/>
        <v>53.23651650251643</v>
      </c>
      <c r="Q15" s="187">
        <f t="shared" si="11"/>
        <v>67.132380780716034</v>
      </c>
    </row>
    <row r="16" spans="2:29">
      <c r="B16" s="178">
        <v>6</v>
      </c>
      <c r="C16" s="179">
        <v>249.93</v>
      </c>
      <c r="D16" s="180">
        <f t="shared" si="4"/>
        <v>41.655000000000001</v>
      </c>
      <c r="E16" s="181">
        <f t="shared" si="12"/>
        <v>121.71590999999999</v>
      </c>
      <c r="F16" s="180">
        <f t="shared" si="0"/>
        <v>12.959965009230515</v>
      </c>
      <c r="G16" s="180">
        <f t="shared" si="5"/>
        <v>13.223463439291821</v>
      </c>
      <c r="H16" s="180">
        <f t="shared" si="6"/>
        <v>5.1078151754830383</v>
      </c>
      <c r="I16" s="183">
        <f t="shared" si="9"/>
        <v>153.00715362400538</v>
      </c>
      <c r="J16" s="180">
        <f t="shared" si="1"/>
        <v>38.251788406001346</v>
      </c>
      <c r="K16" s="180">
        <f t="shared" si="7"/>
        <v>191.25894203000672</v>
      </c>
      <c r="L16" s="188">
        <f t="shared" si="13"/>
        <v>89.89170275410315</v>
      </c>
      <c r="M16" s="180">
        <f t="shared" si="8"/>
        <v>14.981950459017192</v>
      </c>
      <c r="N16" s="180">
        <f t="shared" si="10"/>
        <v>17.303051946199645</v>
      </c>
      <c r="O16" s="186">
        <f t="shared" si="2"/>
        <v>329.63287399929624</v>
      </c>
      <c r="P16" s="180">
        <f t="shared" si="3"/>
        <v>54.938812333216042</v>
      </c>
      <c r="Q16" s="187">
        <f t="shared" si="11"/>
        <v>63.450291486714093</v>
      </c>
    </row>
    <row r="17" spans="2:17">
      <c r="B17" s="178">
        <v>7</v>
      </c>
      <c r="C17" s="179">
        <v>301.81</v>
      </c>
      <c r="D17" s="180">
        <f t="shared" si="4"/>
        <v>43.115714285714283</v>
      </c>
      <c r="E17" s="181">
        <f t="shared" si="12"/>
        <v>146.98147</v>
      </c>
      <c r="F17" s="180">
        <f t="shared" si="0"/>
        <v>14.959900154286384</v>
      </c>
      <c r="G17" s="180">
        <f t="shared" si="5"/>
        <v>13.716500632082315</v>
      </c>
      <c r="H17" s="180">
        <f t="shared" si="6"/>
        <v>5.2251183314183418</v>
      </c>
      <c r="I17" s="183">
        <f t="shared" si="9"/>
        <v>180.88298911778702</v>
      </c>
      <c r="J17" s="180">
        <f t="shared" si="1"/>
        <v>45.220747279446755</v>
      </c>
      <c r="K17" s="180">
        <f t="shared" si="7"/>
        <v>226.10373639723377</v>
      </c>
      <c r="L17" s="188">
        <f t="shared" si="13"/>
        <v>106.26875610669987</v>
      </c>
      <c r="M17" s="180">
        <f>L17/B17</f>
        <v>15.181250872385695</v>
      </c>
      <c r="N17" s="180">
        <f t="shared" si="10"/>
        <v>16.377053352596718</v>
      </c>
      <c r="O17" s="186">
        <f t="shared" si="2"/>
        <v>389.68752864326842</v>
      </c>
      <c r="P17" s="180">
        <f t="shared" si="3"/>
        <v>55.669646949038345</v>
      </c>
      <c r="Q17" s="187">
        <f t="shared" si="11"/>
        <v>60.054654643972185</v>
      </c>
    </row>
    <row r="18" spans="2:17">
      <c r="B18" s="178">
        <v>8</v>
      </c>
      <c r="C18" s="179">
        <v>351.15</v>
      </c>
      <c r="D18" s="180">
        <f t="shared" si="4"/>
        <v>43.893749999999997</v>
      </c>
      <c r="E18" s="181">
        <f t="shared" si="12"/>
        <v>171.01004999999998</v>
      </c>
      <c r="F18" s="180">
        <f t="shared" si="0"/>
        <v>16.81430735798234</v>
      </c>
      <c r="G18" s="180">
        <f t="shared" si="5"/>
        <v>14.125565515179961</v>
      </c>
      <c r="H18" s="180">
        <f t="shared" si="6"/>
        <v>5.3212321252902042</v>
      </c>
      <c r="I18" s="183">
        <f t="shared" si="9"/>
        <v>207.27115499845249</v>
      </c>
      <c r="J18" s="180">
        <f t="shared" si="1"/>
        <v>51.817788749613122</v>
      </c>
      <c r="K18" s="180">
        <f t="shared" si="7"/>
        <v>259.08894374806562</v>
      </c>
      <c r="L18" s="188">
        <f t="shared" si="13"/>
        <v>121.77180356159083</v>
      </c>
      <c r="M18" s="180">
        <f t="shared" si="8"/>
        <v>15.221475445198854</v>
      </c>
      <c r="N18" s="180">
        <f t="shared" si="10"/>
        <v>15.503047454890961</v>
      </c>
      <c r="O18" s="186">
        <f t="shared" si="2"/>
        <v>446.53720366035355</v>
      </c>
      <c r="P18" s="180">
        <f t="shared" si="3"/>
        <v>55.817150457544194</v>
      </c>
      <c r="Q18" s="187">
        <f t="shared" si="11"/>
        <v>56.849675017085133</v>
      </c>
    </row>
    <row r="19" spans="2:17">
      <c r="B19" s="178">
        <v>9</v>
      </c>
      <c r="C19" s="179">
        <v>397.56</v>
      </c>
      <c r="D19" s="180">
        <f t="shared" si="4"/>
        <v>44.173333333333332</v>
      </c>
      <c r="E19" s="181">
        <f t="shared" si="12"/>
        <v>193.61171999999999</v>
      </c>
      <c r="F19" s="180">
        <f t="shared" si="0"/>
        <v>18.528199090697704</v>
      </c>
      <c r="G19" s="180">
        <f t="shared" si="5"/>
        <v>14.470005571663833</v>
      </c>
      <c r="H19" s="180">
        <f t="shared" si="6"/>
        <v>5.4013446690627847</v>
      </c>
      <c r="I19" s="183">
        <f t="shared" si="9"/>
        <v>232.01126933142433</v>
      </c>
      <c r="J19" s="180">
        <f t="shared" si="1"/>
        <v>58.002817332856083</v>
      </c>
      <c r="K19" s="180">
        <f t="shared" si="7"/>
        <v>290.0140866642804</v>
      </c>
      <c r="L19" s="188">
        <f t="shared" si="13"/>
        <v>136.30662073221177</v>
      </c>
      <c r="M19" s="180">
        <f t="shared" si="8"/>
        <v>15.145180081356862</v>
      </c>
      <c r="N19" s="180">
        <f t="shared" si="10"/>
        <v>14.53481717062094</v>
      </c>
      <c r="O19" s="186">
        <f t="shared" si="2"/>
        <v>499.83637822502055</v>
      </c>
      <c r="P19" s="180">
        <f t="shared" si="3"/>
        <v>55.537375358335616</v>
      </c>
      <c r="Q19" s="187">
        <f t="shared" si="11"/>
        <v>53.299174564666998</v>
      </c>
    </row>
    <row r="20" spans="2:17">
      <c r="B20" s="172">
        <v>10</v>
      </c>
      <c r="C20" s="189">
        <v>441.36</v>
      </c>
      <c r="D20" s="190">
        <f t="shared" si="4"/>
        <v>44.136000000000003</v>
      </c>
      <c r="E20" s="191">
        <f t="shared" si="12"/>
        <v>214.94232</v>
      </c>
      <c r="F20" s="190">
        <f t="shared" si="0"/>
        <v>20.125340801894239</v>
      </c>
      <c r="G20" s="190">
        <f t="shared" si="5"/>
        <v>14.766516181301958</v>
      </c>
      <c r="H20" s="190">
        <f t="shared" si="6"/>
        <v>5.4697310739078695</v>
      </c>
      <c r="I20" s="192">
        <f t="shared" si="9"/>
        <v>255.30390805710408</v>
      </c>
      <c r="J20" s="190">
        <f t="shared" si="1"/>
        <v>63.82597701427602</v>
      </c>
      <c r="K20" s="190">
        <f t="shared" si="7"/>
        <v>319.1298850713801</v>
      </c>
      <c r="L20" s="193">
        <f t="shared" si="13"/>
        <v>149.99104598354864</v>
      </c>
      <c r="M20" s="190">
        <f t="shared" si="8"/>
        <v>14.999104598354865</v>
      </c>
      <c r="N20" s="190">
        <f t="shared" si="10"/>
        <v>13.684425251336876</v>
      </c>
      <c r="O20" s="194">
        <f t="shared" si="2"/>
        <v>550.0171656216728</v>
      </c>
      <c r="P20" s="190">
        <f t="shared" si="3"/>
        <v>55.001716562167282</v>
      </c>
      <c r="Q20" s="195">
        <f t="shared" si="11"/>
        <v>50.180787396652249</v>
      </c>
    </row>
    <row r="21" spans="2:17">
      <c r="B21" s="178">
        <v>11</v>
      </c>
      <c r="C21" s="179">
        <v>482.68</v>
      </c>
      <c r="D21" s="180">
        <f t="shared" si="4"/>
        <v>43.88</v>
      </c>
      <c r="E21" s="181">
        <f t="shared" si="12"/>
        <v>235.06515999999999</v>
      </c>
      <c r="F21" s="182">
        <f t="shared" si="0"/>
        <v>21.617847793402593</v>
      </c>
      <c r="G21" s="182">
        <f t="shared" si="5"/>
        <v>15.025233281211541</v>
      </c>
      <c r="H21" s="182">
        <f t="shared" si="6"/>
        <v>5.5289759827063047</v>
      </c>
      <c r="I21" s="196">
        <f t="shared" si="9"/>
        <v>277.23721705732038</v>
      </c>
      <c r="J21" s="180">
        <f t="shared" si="1"/>
        <v>69.309304264330095</v>
      </c>
      <c r="K21" s="180">
        <f t="shared" si="7"/>
        <v>346.54652132165046</v>
      </c>
      <c r="L21" s="188">
        <f t="shared" si="13"/>
        <v>162.87686502117572</v>
      </c>
      <c r="M21" s="180">
        <f t="shared" si="8"/>
        <v>14.806987729197793</v>
      </c>
      <c r="N21" s="180">
        <f t="shared" si="10"/>
        <v>12.885819037627073</v>
      </c>
      <c r="O21" s="186">
        <f t="shared" si="2"/>
        <v>597.26946403265129</v>
      </c>
      <c r="P21" s="180">
        <f t="shared" si="3"/>
        <v>54.297224002968299</v>
      </c>
      <c r="Q21" s="187">
        <f t="shared" si="11"/>
        <v>47.252298410978483</v>
      </c>
    </row>
    <row r="22" spans="2:17">
      <c r="B22" s="178">
        <v>12</v>
      </c>
      <c r="C22" s="179">
        <v>520.9</v>
      </c>
      <c r="D22" s="180">
        <f t="shared" si="4"/>
        <v>43.408333333333331</v>
      </c>
      <c r="E22" s="181">
        <f t="shared" si="12"/>
        <v>253.67829999999998</v>
      </c>
      <c r="F22" s="180">
        <f t="shared" si="0"/>
        <v>22.988449159139051</v>
      </c>
      <c r="G22" s="180">
        <f t="shared" si="5"/>
        <v>15.249103479388458</v>
      </c>
      <c r="H22" s="180">
        <f t="shared" si="6"/>
        <v>5.5799291670876903</v>
      </c>
      <c r="I22" s="183">
        <f t="shared" si="9"/>
        <v>297.4957818056152</v>
      </c>
      <c r="J22" s="180">
        <f t="shared" si="1"/>
        <v>74.373945451403799</v>
      </c>
      <c r="K22" s="180">
        <f t="shared" si="7"/>
        <v>371.86972725701901</v>
      </c>
      <c r="L22" s="188">
        <f t="shared" si="13"/>
        <v>174.77877181079893</v>
      </c>
      <c r="M22" s="180">
        <f t="shared" si="8"/>
        <v>14.56489765089991</v>
      </c>
      <c r="N22" s="180">
        <f t="shared" si="10"/>
        <v>11.901906789623212</v>
      </c>
      <c r="O22" s="186">
        <f t="shared" si="2"/>
        <v>640.91375623019962</v>
      </c>
      <c r="P22" s="180">
        <f>O22/B22</f>
        <v>53.409479685849966</v>
      </c>
      <c r="Q22" s="187">
        <f t="shared" si="11"/>
        <v>43.644292197548339</v>
      </c>
    </row>
    <row r="23" spans="2:17">
      <c r="B23" s="178">
        <v>13</v>
      </c>
      <c r="C23" s="179">
        <v>557.70000000000005</v>
      </c>
      <c r="D23" s="180">
        <f t="shared" si="4"/>
        <v>42.900000000000006</v>
      </c>
      <c r="E23" s="181">
        <f t="shared" si="12"/>
        <v>271.59989999999999</v>
      </c>
      <c r="F23" s="180">
        <f t="shared" si="0"/>
        <v>24.300646280418341</v>
      </c>
      <c r="G23" s="180">
        <f t="shared" si="5"/>
        <v>15.452475472607851</v>
      </c>
      <c r="H23" s="180">
        <f t="shared" si="6"/>
        <v>5.6259712173984751</v>
      </c>
      <c r="I23" s="183">
        <f t="shared" si="9"/>
        <v>316.97899297042466</v>
      </c>
      <c r="J23" s="180">
        <f t="shared" si="1"/>
        <v>79.244748242606164</v>
      </c>
      <c r="K23" s="180">
        <f t="shared" si="7"/>
        <v>396.22374121303085</v>
      </c>
      <c r="L23" s="188">
        <f t="shared" si="13"/>
        <v>186.22515837012449</v>
      </c>
      <c r="M23" s="180">
        <f t="shared" si="8"/>
        <v>14.325012182317268</v>
      </c>
      <c r="N23" s="180">
        <f t="shared" si="10"/>
        <v>11.44638655932556</v>
      </c>
      <c r="O23" s="186">
        <f t="shared" si="2"/>
        <v>682.88765574324646</v>
      </c>
      <c r="P23" s="180">
        <f t="shared" si="3"/>
        <v>52.529819672557423</v>
      </c>
      <c r="Q23" s="187">
        <f t="shared" si="11"/>
        <v>41.973899513046831</v>
      </c>
    </row>
    <row r="24" spans="2:17">
      <c r="B24" s="178">
        <v>14</v>
      </c>
      <c r="C24" s="179">
        <v>592.42999999999995</v>
      </c>
      <c r="D24" s="180">
        <f t="shared" si="4"/>
        <v>42.316428571428567</v>
      </c>
      <c r="E24" s="181">
        <f t="shared" si="12"/>
        <v>288.51340999999996</v>
      </c>
      <c r="F24" s="180">
        <f t="shared" si="0"/>
        <v>25.533329898283057</v>
      </c>
      <c r="G24" s="180">
        <f t="shared" si="5"/>
        <v>15.634716944748577</v>
      </c>
      <c r="H24" s="180">
        <f t="shared" si="6"/>
        <v>5.6670343305376925</v>
      </c>
      <c r="I24" s="183">
        <f t="shared" si="9"/>
        <v>335.3484911735693</v>
      </c>
      <c r="J24" s="180">
        <f t="shared" si="1"/>
        <v>83.837122793392325</v>
      </c>
      <c r="K24" s="180">
        <f t="shared" si="7"/>
        <v>419.18561396696163</v>
      </c>
      <c r="L24" s="188">
        <f t="shared" si="13"/>
        <v>197.01723856447197</v>
      </c>
      <c r="M24" s="180">
        <f t="shared" si="8"/>
        <v>14.072659897462284</v>
      </c>
      <c r="N24" s="180">
        <f t="shared" si="10"/>
        <v>10.792080194347477</v>
      </c>
      <c r="O24" s="186">
        <f t="shared" si="2"/>
        <v>722.46221381591863</v>
      </c>
      <c r="P24" s="180">
        <f t="shared" si="3"/>
        <v>51.60444384399419</v>
      </c>
      <c r="Q24" s="187">
        <f t="shared" si="11"/>
        <v>39.574558072672176</v>
      </c>
    </row>
    <row r="25" spans="2:17">
      <c r="B25" s="178">
        <v>15</v>
      </c>
      <c r="C25" s="179">
        <v>624.22</v>
      </c>
      <c r="D25" s="180">
        <f t="shared" si="4"/>
        <v>41.614666666666672</v>
      </c>
      <c r="E25" s="181">
        <f t="shared" si="12"/>
        <v>303.99513999999999</v>
      </c>
      <c r="F25" s="180">
        <f t="shared" si="0"/>
        <v>26.657478513009931</v>
      </c>
      <c r="G25" s="180">
        <f t="shared" si="5"/>
        <v>15.794131975205866</v>
      </c>
      <c r="H25" s="180">
        <f t="shared" si="6"/>
        <v>5.7028053220457089</v>
      </c>
      <c r="I25" s="183">
        <f t="shared" si="9"/>
        <v>352.14955581026152</v>
      </c>
      <c r="J25" s="180">
        <f t="shared" si="1"/>
        <v>88.037388952565379</v>
      </c>
      <c r="K25" s="180">
        <f t="shared" si="7"/>
        <v>440.1869447628269</v>
      </c>
      <c r="L25" s="188">
        <f t="shared" si="13"/>
        <v>206.88786403852862</v>
      </c>
      <c r="M25" s="180">
        <f t="shared" si="8"/>
        <v>13.792524269235241</v>
      </c>
      <c r="N25" s="180">
        <f t="shared" si="10"/>
        <v>9.8706254740566521</v>
      </c>
      <c r="O25" s="186">
        <f t="shared" si="2"/>
        <v>758.65779742928441</v>
      </c>
      <c r="P25" s="180">
        <f t="shared" si="3"/>
        <v>50.57718649528563</v>
      </c>
      <c r="Q25" s="187">
        <f t="shared" si="11"/>
        <v>36.195583613365784</v>
      </c>
    </row>
    <row r="26" spans="2:17">
      <c r="B26" s="178">
        <v>16</v>
      </c>
      <c r="C26" s="179">
        <v>652.61</v>
      </c>
      <c r="D26" s="180">
        <f t="shared" si="4"/>
        <v>40.788125000000001</v>
      </c>
      <c r="E26" s="181">
        <f t="shared" si="12"/>
        <v>317.82107000000002</v>
      </c>
      <c r="F26" s="180">
        <f t="shared" si="0"/>
        <v>27.658429177462907</v>
      </c>
      <c r="G26" s="180">
        <f t="shared" si="5"/>
        <v>15.931058068830726</v>
      </c>
      <c r="H26" s="180">
        <f t="shared" si="6"/>
        <v>5.7334207215873629</v>
      </c>
      <c r="I26" s="183">
        <f t="shared" si="9"/>
        <v>367.14397796788103</v>
      </c>
      <c r="J26" s="180">
        <f t="shared" si="1"/>
        <v>91.785994491970257</v>
      </c>
      <c r="K26" s="180">
        <f t="shared" si="7"/>
        <v>458.92997245985129</v>
      </c>
      <c r="L26" s="188">
        <f t="shared" si="13"/>
        <v>215.6970870561301</v>
      </c>
      <c r="M26" s="180">
        <f>L26/B26</f>
        <v>13.481067941008131</v>
      </c>
      <c r="N26" s="180">
        <f t="shared" si="10"/>
        <v>8.8092230176014823</v>
      </c>
      <c r="O26" s="186">
        <f t="shared" si="2"/>
        <v>790.96121823482906</v>
      </c>
      <c r="P26" s="180">
        <f t="shared" si="3"/>
        <v>49.435076139676816</v>
      </c>
      <c r="Q26" s="187">
        <f t="shared" si="11"/>
        <v>32.303420805544647</v>
      </c>
    </row>
    <row r="27" spans="2:17">
      <c r="B27" s="178">
        <v>17</v>
      </c>
      <c r="C27" s="179">
        <v>678.5</v>
      </c>
      <c r="D27" s="180">
        <f t="shared" si="4"/>
        <v>39.911764705882355</v>
      </c>
      <c r="E27" s="181">
        <f t="shared" si="12"/>
        <v>330.42950000000002</v>
      </c>
      <c r="F27" s="180">
        <f t="shared" si="0"/>
        <v>28.569057104529342</v>
      </c>
      <c r="G27" s="180">
        <f t="shared" si="5"/>
        <v>16.051803000358287</v>
      </c>
      <c r="H27" s="180">
        <f t="shared" si="6"/>
        <v>5.7603353506679165</v>
      </c>
      <c r="I27" s="183">
        <f t="shared" si="9"/>
        <v>380.81069545555556</v>
      </c>
      <c r="J27" s="180">
        <f t="shared" si="1"/>
        <v>95.20267386388889</v>
      </c>
      <c r="K27" s="180">
        <f t="shared" si="7"/>
        <v>476.01336931944445</v>
      </c>
      <c r="L27" s="188">
        <f t="shared" si="13"/>
        <v>223.72628358013887</v>
      </c>
      <c r="M27" s="180">
        <f t="shared" si="8"/>
        <v>13.16036962236111</v>
      </c>
      <c r="N27" s="180">
        <f t="shared" si="10"/>
        <v>8.0291965240087677</v>
      </c>
      <c r="O27" s="186">
        <f t="shared" si="2"/>
        <v>820.40428188836916</v>
      </c>
      <c r="P27" s="180">
        <f t="shared" si="3"/>
        <v>48.259075405198189</v>
      </c>
      <c r="Q27" s="187">
        <f t="shared" si="11"/>
        <v>29.443063653540094</v>
      </c>
    </row>
    <row r="28" spans="2:17">
      <c r="B28" s="178">
        <v>18</v>
      </c>
      <c r="C28" s="179">
        <v>701.83</v>
      </c>
      <c r="D28" s="180">
        <f t="shared" si="4"/>
        <v>38.990555555555559</v>
      </c>
      <c r="E28" s="181">
        <f t="shared" si="12"/>
        <v>341.79121000000004</v>
      </c>
      <c r="F28" s="180">
        <f t="shared" si="0"/>
        <v>29.388028279769415</v>
      </c>
      <c r="G28" s="180">
        <f t="shared" si="5"/>
        <v>16.157468521609196</v>
      </c>
      <c r="H28" s="180">
        <f t="shared" si="6"/>
        <v>5.7838256898597669</v>
      </c>
      <c r="I28" s="183">
        <f t="shared" si="9"/>
        <v>393.12053249123841</v>
      </c>
      <c r="J28" s="180">
        <f t="shared" si="1"/>
        <v>98.280133122809602</v>
      </c>
      <c r="K28" s="180">
        <f t="shared" si="7"/>
        <v>491.40066561404802</v>
      </c>
      <c r="L28" s="188">
        <f t="shared" si="13"/>
        <v>230.95831283860255</v>
      </c>
      <c r="M28" s="180">
        <f t="shared" si="8"/>
        <v>12.831017379922365</v>
      </c>
      <c r="N28" s="180">
        <f t="shared" si="10"/>
        <v>7.2320292584636832</v>
      </c>
      <c r="O28" s="186">
        <f t="shared" si="2"/>
        <v>846.92413317915555</v>
      </c>
      <c r="P28" s="180">
        <f t="shared" si="3"/>
        <v>47.051340732175305</v>
      </c>
      <c r="Q28" s="187">
        <f t="shared" si="11"/>
        <v>26.519851290786391</v>
      </c>
    </row>
    <row r="29" spans="2:17">
      <c r="B29" s="178">
        <v>19</v>
      </c>
      <c r="C29" s="179">
        <v>726.14</v>
      </c>
      <c r="D29" s="180">
        <f t="shared" si="4"/>
        <v>38.217894736842105</v>
      </c>
      <c r="E29" s="181">
        <f t="shared" si="12"/>
        <v>353.63018</v>
      </c>
      <c r="F29" s="180">
        <f t="shared" si="0"/>
        <v>30.239914018526779</v>
      </c>
      <c r="G29" s="180">
        <f t="shared" si="5"/>
        <v>16.264602638527986</v>
      </c>
      <c r="H29" s="180">
        <f t="shared" si="6"/>
        <v>5.8075830284367731</v>
      </c>
      <c r="I29" s="183">
        <f t="shared" si="9"/>
        <v>405.9422796854916</v>
      </c>
      <c r="J29" s="180">
        <f t="shared" si="1"/>
        <v>101.4855699213729</v>
      </c>
      <c r="K29" s="180">
        <f t="shared" si="7"/>
        <v>507.42784960686447</v>
      </c>
      <c r="L29" s="188">
        <f t="shared" si="13"/>
        <v>238.49108931522628</v>
      </c>
      <c r="M29" s="180">
        <f t="shared" si="8"/>
        <v>12.552162595538226</v>
      </c>
      <c r="N29" s="180">
        <f t="shared" si="10"/>
        <v>7.5327764766237237</v>
      </c>
      <c r="O29" s="186">
        <f t="shared" si="2"/>
        <v>874.54682451893473</v>
      </c>
      <c r="P29" s="180">
        <f t="shared" si="3"/>
        <v>46.028780237838667</v>
      </c>
      <c r="Q29" s="187">
        <f t="shared" si="11"/>
        <v>27.62269133977918</v>
      </c>
    </row>
    <row r="30" spans="2:17" ht="15" thickBot="1">
      <c r="B30" s="197">
        <v>20</v>
      </c>
      <c r="C30" s="198">
        <v>745.56</v>
      </c>
      <c r="D30" s="199">
        <f t="shared" si="4"/>
        <v>37.277999999999999</v>
      </c>
      <c r="E30" s="200">
        <f t="shared" si="12"/>
        <v>363.08771999999999</v>
      </c>
      <c r="F30" s="199">
        <f t="shared" si="0"/>
        <v>30.919434934776323</v>
      </c>
      <c r="G30" s="199">
        <f t="shared" si="5"/>
        <v>16.348128728527037</v>
      </c>
      <c r="H30" s="199">
        <f t="shared" si="6"/>
        <v>5.8260640086307856</v>
      </c>
      <c r="I30" s="201">
        <f t="shared" si="9"/>
        <v>416.18134767193419</v>
      </c>
      <c r="J30" s="199">
        <f t="shared" si="1"/>
        <v>104.04533691798355</v>
      </c>
      <c r="K30" s="199">
        <f t="shared" si="7"/>
        <v>520.2266845899178</v>
      </c>
      <c r="L30" s="202">
        <f t="shared" si="13"/>
        <v>244.50654175726135</v>
      </c>
      <c r="M30" s="199">
        <f t="shared" si="8"/>
        <v>12.225327087863068</v>
      </c>
      <c r="N30" s="199">
        <f t="shared" si="10"/>
        <v>6.0154524420350697</v>
      </c>
      <c r="O30" s="203">
        <f t="shared" si="2"/>
        <v>896.60548862387736</v>
      </c>
      <c r="P30" s="199">
        <f t="shared" si="3"/>
        <v>44.830274431193871</v>
      </c>
      <c r="Q30" s="204">
        <f t="shared" si="11"/>
        <v>22.058664104942636</v>
      </c>
    </row>
    <row r="32" spans="2:17" ht="15.9">
      <c r="B32" s="8" t="s">
        <v>180</v>
      </c>
      <c r="C32" s="4"/>
    </row>
    <row r="33" spans="2:16">
      <c r="B33" s="153" t="s">
        <v>155</v>
      </c>
      <c r="C33" s="153"/>
      <c r="D33" s="154"/>
      <c r="E33" s="154"/>
      <c r="F33" s="154"/>
      <c r="G33" s="154"/>
      <c r="H33" s="154"/>
      <c r="I33" s="154"/>
      <c r="J33" s="154"/>
      <c r="K33" s="154"/>
      <c r="L33" s="154"/>
    </row>
    <row r="34" spans="2:16">
      <c r="B34" s="4" t="s">
        <v>156</v>
      </c>
      <c r="C34" s="4" t="s">
        <v>177</v>
      </c>
    </row>
    <row r="35" spans="2:16">
      <c r="B35" s="4" t="s">
        <v>158</v>
      </c>
      <c r="C35" s="155" t="s">
        <v>178</v>
      </c>
    </row>
    <row r="36" spans="2:16">
      <c r="B36" s="153" t="s">
        <v>160</v>
      </c>
      <c r="C36" s="156">
        <v>0.41199999999999998</v>
      </c>
      <c r="D36" s="153" t="s">
        <v>161</v>
      </c>
      <c r="E36" s="154"/>
      <c r="F36" s="154"/>
    </row>
    <row r="37" spans="2:16" ht="18.45">
      <c r="B37" s="15"/>
    </row>
    <row r="38" spans="2:16">
      <c r="B38" s="205"/>
      <c r="C38" s="206" t="s">
        <v>162</v>
      </c>
      <c r="D38" s="49"/>
      <c r="E38" s="207" t="s">
        <v>163</v>
      </c>
      <c r="F38" s="208"/>
      <c r="G38" s="208"/>
      <c r="H38" s="208"/>
      <c r="I38" s="209"/>
      <c r="J38" s="210"/>
      <c r="K38" s="50"/>
      <c r="L38" s="51"/>
      <c r="M38" s="211" t="s">
        <v>179</v>
      </c>
      <c r="N38" s="211"/>
      <c r="O38" s="52"/>
      <c r="P38" s="52"/>
    </row>
    <row r="39" spans="2:16" ht="15">
      <c r="B39" s="212" t="s">
        <v>12</v>
      </c>
      <c r="C39" s="213" t="s">
        <v>165</v>
      </c>
      <c r="D39" s="164" t="s">
        <v>166</v>
      </c>
      <c r="E39" s="213" t="s">
        <v>167</v>
      </c>
      <c r="F39" s="164" t="s">
        <v>168</v>
      </c>
      <c r="G39" s="164" t="s">
        <v>169</v>
      </c>
      <c r="H39" s="164" t="s">
        <v>170</v>
      </c>
      <c r="I39" s="214" t="s">
        <v>171</v>
      </c>
      <c r="J39" s="164" t="s">
        <v>172</v>
      </c>
      <c r="K39" s="164" t="s">
        <v>173</v>
      </c>
      <c r="L39" s="215" t="s">
        <v>174</v>
      </c>
      <c r="M39" s="164"/>
      <c r="N39" s="164" t="s">
        <v>217</v>
      </c>
      <c r="O39" s="164" t="s">
        <v>218</v>
      </c>
      <c r="P39" s="214"/>
    </row>
    <row r="40" spans="2:16">
      <c r="B40" s="216" t="s">
        <v>175</v>
      </c>
      <c r="C40" s="217" t="s">
        <v>210</v>
      </c>
      <c r="D40" s="174" t="s">
        <v>211</v>
      </c>
      <c r="E40" s="217" t="s">
        <v>212</v>
      </c>
      <c r="F40" s="174" t="s">
        <v>213</v>
      </c>
      <c r="G40" s="174" t="s">
        <v>213</v>
      </c>
      <c r="H40" s="174" t="s">
        <v>213</v>
      </c>
      <c r="I40" s="218" t="s">
        <v>213</v>
      </c>
      <c r="J40" s="174" t="s">
        <v>213</v>
      </c>
      <c r="K40" s="174" t="s">
        <v>212</v>
      </c>
      <c r="L40" s="217" t="s">
        <v>212</v>
      </c>
      <c r="M40" s="174" t="s">
        <v>211</v>
      </c>
      <c r="N40" s="174" t="s">
        <v>212</v>
      </c>
      <c r="O40" s="174" t="s">
        <v>213</v>
      </c>
      <c r="P40" s="218" t="s">
        <v>211</v>
      </c>
    </row>
    <row r="41" spans="2:16">
      <c r="B41" s="219">
        <v>1</v>
      </c>
      <c r="C41" s="220">
        <v>0</v>
      </c>
      <c r="D41" s="180">
        <f t="shared" ref="D41:D70" si="14">C41/B41</f>
        <v>0</v>
      </c>
      <c r="E41" s="181">
        <f>$C$36*C41</f>
        <v>0</v>
      </c>
      <c r="F41" s="221">
        <f>97.81+(-96.6-3.95*B41)/(1+0.0422*B41+0.00001843*B41^2)</f>
        <v>1.3331031176449244</v>
      </c>
      <c r="G41" s="182">
        <f>EXP(0.24475*LN(B41)+0.000612*B41+1.714245)</f>
        <v>5.5558809645746727</v>
      </c>
      <c r="H41" s="182">
        <f>EXP(0.0551341*LN(G41)-0.00017*G41+2.136863)</f>
        <v>9.3041970826099405</v>
      </c>
      <c r="I41" s="222">
        <f>SUM(E41:H41)</f>
        <v>16.193181164829539</v>
      </c>
      <c r="J41" s="180">
        <f>0.2*I41</f>
        <v>3.238636232965908</v>
      </c>
      <c r="K41" s="184">
        <f>SUM(I41)*1.25</f>
        <v>20.241476456036924</v>
      </c>
      <c r="L41" s="223">
        <f>K41*0.47</f>
        <v>9.5134939343373546</v>
      </c>
      <c r="M41" s="184">
        <f t="shared" ref="M41:M70" si="15">L41/B41</f>
        <v>9.5134939343373546</v>
      </c>
      <c r="N41" s="180">
        <f>M41</f>
        <v>9.5134939343373546</v>
      </c>
      <c r="O41" s="180">
        <f t="shared" ref="O41:O70" si="16">L41*3.667</f>
        <v>34.885982257215076</v>
      </c>
      <c r="P41" s="224">
        <f t="shared" ref="P41:P70" si="17">O41/B41</f>
        <v>34.885982257215076</v>
      </c>
    </row>
    <row r="42" spans="2:16">
      <c r="B42" s="219">
        <v>2</v>
      </c>
      <c r="C42" s="220">
        <v>0</v>
      </c>
      <c r="D42" s="180">
        <f t="shared" si="14"/>
        <v>0</v>
      </c>
      <c r="E42" s="181">
        <f t="shared" ref="E42:E70" si="18">$C$36*C42</f>
        <v>0</v>
      </c>
      <c r="F42" s="180">
        <f t="shared" ref="F42:F70" si="19">97.81+(-96.6-3.95*B42)/(1+0.0422*B42+0.00001843*B42^2)</f>
        <v>1.4498964098457066</v>
      </c>
      <c r="G42" s="180">
        <f t="shared" ref="G42:G70" si="20">EXP(0.24475*LN(B42)+0.000612*B42+1.714245)</f>
        <v>6.5871235916143105</v>
      </c>
      <c r="H42" s="180">
        <f t="shared" ref="H42:H70" si="21">EXP(0.0551341*LN(G42)-0.00017*G42+2.136863)</f>
        <v>9.3903015403973029</v>
      </c>
      <c r="I42" s="224">
        <f t="shared" ref="I42:I48" si="22">SUM(E42:H42)</f>
        <v>17.427321541857321</v>
      </c>
      <c r="J42" s="180">
        <f t="shared" ref="J42:J70" si="23">0.2*I42</f>
        <v>3.4854643083714643</v>
      </c>
      <c r="K42" s="180">
        <f t="shared" ref="K42:K47" si="24">SUM(I42)*1.25</f>
        <v>21.784151927321652</v>
      </c>
      <c r="L42" s="223">
        <f t="shared" ref="L42:L70" si="25">K42*0.47</f>
        <v>10.238551405841175</v>
      </c>
      <c r="M42" s="180">
        <f t="shared" si="15"/>
        <v>5.1192757029205875</v>
      </c>
      <c r="N42" s="180">
        <f>L42-L41</f>
        <v>0.72505747150382049</v>
      </c>
      <c r="O42" s="180">
        <f t="shared" si="16"/>
        <v>37.544768005219588</v>
      </c>
      <c r="P42" s="224">
        <f t="shared" si="17"/>
        <v>18.772384002609794</v>
      </c>
    </row>
    <row r="43" spans="2:16">
      <c r="B43" s="219">
        <v>3</v>
      </c>
      <c r="C43" s="220">
        <v>8.42</v>
      </c>
      <c r="D43" s="180">
        <f t="shared" si="14"/>
        <v>2.8066666666666666</v>
      </c>
      <c r="E43" s="181">
        <f t="shared" si="18"/>
        <v>3.4690399999999997</v>
      </c>
      <c r="F43" s="180">
        <f t="shared" si="19"/>
        <v>1.5610782963278922</v>
      </c>
      <c r="G43" s="180">
        <f t="shared" si="20"/>
        <v>7.2788025053238625</v>
      </c>
      <c r="H43" s="180">
        <f t="shared" si="21"/>
        <v>9.4410286108343957</v>
      </c>
      <c r="I43" s="224">
        <f t="shared" si="22"/>
        <v>21.749949412486153</v>
      </c>
      <c r="J43" s="180">
        <f t="shared" si="23"/>
        <v>4.3499898824972307</v>
      </c>
      <c r="K43" s="180">
        <f t="shared" si="24"/>
        <v>27.187436765607693</v>
      </c>
      <c r="L43" s="223">
        <f t="shared" si="25"/>
        <v>12.778095279835615</v>
      </c>
      <c r="M43" s="180">
        <f t="shared" si="15"/>
        <v>4.2593650932785385</v>
      </c>
      <c r="N43" s="180">
        <f t="shared" ref="N43" si="26">L43-L42</f>
        <v>2.5395438739944396</v>
      </c>
      <c r="O43" s="180">
        <f t="shared" si="16"/>
        <v>46.857275391157195</v>
      </c>
      <c r="P43" s="224">
        <f t="shared" si="17"/>
        <v>15.619091797052398</v>
      </c>
    </row>
    <row r="44" spans="2:16">
      <c r="B44" s="219">
        <v>4</v>
      </c>
      <c r="C44" s="220">
        <v>25.62</v>
      </c>
      <c r="D44" s="180">
        <f t="shared" si="14"/>
        <v>6.4050000000000002</v>
      </c>
      <c r="E44" s="181">
        <f t="shared" si="18"/>
        <v>10.555439999999999</v>
      </c>
      <c r="F44" s="180">
        <f t="shared" si="19"/>
        <v>1.6672472407030057</v>
      </c>
      <c r="G44" s="180">
        <f t="shared" si="20"/>
        <v>7.8145590980359927</v>
      </c>
      <c r="H44" s="180">
        <f t="shared" si="21"/>
        <v>9.4772065297517596</v>
      </c>
      <c r="I44" s="224">
        <f t="shared" si="22"/>
        <v>29.514452868490757</v>
      </c>
      <c r="J44" s="180">
        <f t="shared" si="23"/>
        <v>5.9028905736981514</v>
      </c>
      <c r="K44" s="180">
        <f t="shared" si="24"/>
        <v>36.893066085613448</v>
      </c>
      <c r="L44" s="223">
        <f t="shared" si="25"/>
        <v>17.339741060238321</v>
      </c>
      <c r="M44" s="180">
        <f t="shared" si="15"/>
        <v>4.3349352650595803</v>
      </c>
      <c r="N44" s="180">
        <f>L44-L43</f>
        <v>4.5616457804027064</v>
      </c>
      <c r="O44" s="180">
        <f t="shared" si="16"/>
        <v>63.584830467893923</v>
      </c>
      <c r="P44" s="224">
        <f t="shared" si="17"/>
        <v>15.896207616973481</v>
      </c>
    </row>
    <row r="45" spans="2:16">
      <c r="B45" s="219">
        <v>5</v>
      </c>
      <c r="C45" s="220">
        <v>52.11</v>
      </c>
      <c r="D45" s="180">
        <f t="shared" si="14"/>
        <v>10.422000000000001</v>
      </c>
      <c r="E45" s="181">
        <f t="shared" si="18"/>
        <v>21.46932</v>
      </c>
      <c r="F45" s="180">
        <f t="shared" si="19"/>
        <v>1.7689190157419574</v>
      </c>
      <c r="G45" s="180">
        <f t="shared" si="20"/>
        <v>8.2582684026104349</v>
      </c>
      <c r="H45" s="180">
        <f t="shared" si="21"/>
        <v>9.5053902210702645</v>
      </c>
      <c r="I45" s="224">
        <f t="shared" si="22"/>
        <v>41.001897639422658</v>
      </c>
      <c r="J45" s="180">
        <f t="shared" si="23"/>
        <v>8.2003795278845324</v>
      </c>
      <c r="K45" s="180">
        <f t="shared" si="24"/>
        <v>51.252372049278321</v>
      </c>
      <c r="L45" s="223">
        <f t="shared" si="25"/>
        <v>24.08861486316081</v>
      </c>
      <c r="M45" s="180">
        <f t="shared" si="15"/>
        <v>4.8177229726321622</v>
      </c>
      <c r="N45" s="180">
        <f t="shared" ref="N45:N70" si="27">L45-L44</f>
        <v>6.7488738029224891</v>
      </c>
      <c r="O45" s="180">
        <f t="shared" si="16"/>
        <v>88.332950703210685</v>
      </c>
      <c r="P45" s="224">
        <f t="shared" si="17"/>
        <v>17.666590140642136</v>
      </c>
    </row>
    <row r="46" spans="2:16">
      <c r="B46" s="219">
        <v>6</v>
      </c>
      <c r="C46" s="220">
        <v>87.21</v>
      </c>
      <c r="D46" s="180">
        <f t="shared" si="14"/>
        <v>14.534999999999998</v>
      </c>
      <c r="E46" s="181">
        <f t="shared" si="18"/>
        <v>35.930519999999994</v>
      </c>
      <c r="F46" s="180">
        <f t="shared" si="19"/>
        <v>1.8665405094979093</v>
      </c>
      <c r="G46" s="180">
        <f t="shared" si="20"/>
        <v>8.6404108182450514</v>
      </c>
      <c r="H46" s="180">
        <f t="shared" si="21"/>
        <v>9.5285072387298442</v>
      </c>
      <c r="I46" s="224">
        <f t="shared" si="22"/>
        <v>55.965978566472799</v>
      </c>
      <c r="J46" s="180">
        <f t="shared" si="23"/>
        <v>11.193195713294561</v>
      </c>
      <c r="K46" s="180">
        <f t="shared" si="24"/>
        <v>69.957473208091002</v>
      </c>
      <c r="L46" s="223">
        <f t="shared" si="25"/>
        <v>32.880012407802766</v>
      </c>
      <c r="M46" s="180">
        <f t="shared" si="15"/>
        <v>5.4800020679671277</v>
      </c>
      <c r="N46" s="180">
        <f t="shared" si="27"/>
        <v>8.7913975446419563</v>
      </c>
      <c r="O46" s="180">
        <f t="shared" si="16"/>
        <v>120.57100549941273</v>
      </c>
      <c r="P46" s="224">
        <f t="shared" si="17"/>
        <v>20.095167583235455</v>
      </c>
    </row>
    <row r="47" spans="2:16">
      <c r="B47" s="219">
        <v>7</v>
      </c>
      <c r="C47" s="220">
        <v>129.47999999999999</v>
      </c>
      <c r="D47" s="180">
        <f t="shared" si="14"/>
        <v>18.497142857142855</v>
      </c>
      <c r="E47" s="181">
        <f t="shared" si="18"/>
        <v>53.345759999999991</v>
      </c>
      <c r="F47" s="180">
        <f t="shared" si="19"/>
        <v>1.9605008547113698</v>
      </c>
      <c r="G47" s="180">
        <f t="shared" si="20"/>
        <v>8.9781200242865324</v>
      </c>
      <c r="H47" s="180">
        <f t="shared" si="21"/>
        <v>9.5481223156333161</v>
      </c>
      <c r="I47" s="224">
        <f t="shared" si="22"/>
        <v>73.832503194631215</v>
      </c>
      <c r="J47" s="180">
        <f t="shared" si="23"/>
        <v>14.766500638926244</v>
      </c>
      <c r="K47" s="180">
        <f t="shared" si="24"/>
        <v>92.290628993289019</v>
      </c>
      <c r="L47" s="223">
        <f t="shared" si="25"/>
        <v>43.376595626845834</v>
      </c>
      <c r="M47" s="180">
        <f t="shared" si="15"/>
        <v>6.1966565181208333</v>
      </c>
      <c r="N47" s="180">
        <f t="shared" si="27"/>
        <v>10.496583219043067</v>
      </c>
      <c r="O47" s="180">
        <f t="shared" si="16"/>
        <v>159.06197616364366</v>
      </c>
      <c r="P47" s="224">
        <f t="shared" si="17"/>
        <v>22.723139451949095</v>
      </c>
    </row>
    <row r="48" spans="2:16">
      <c r="B48" s="219">
        <v>8</v>
      </c>
      <c r="C48" s="220">
        <v>24.29</v>
      </c>
      <c r="D48" s="180">
        <f t="shared" si="14"/>
        <v>3.0362499999999999</v>
      </c>
      <c r="E48" s="181">
        <f t="shared" si="18"/>
        <v>10.007479999999999</v>
      </c>
      <c r="F48" s="180">
        <f t="shared" si="19"/>
        <v>2.0511404679988061</v>
      </c>
      <c r="G48" s="180">
        <f t="shared" si="20"/>
        <v>9.2820675407851514</v>
      </c>
      <c r="H48" s="180">
        <f t="shared" si="21"/>
        <v>9.5651709202887165</v>
      </c>
      <c r="I48" s="224">
        <f t="shared" si="22"/>
        <v>30.905858929072672</v>
      </c>
      <c r="J48" s="180">
        <f t="shared" si="23"/>
        <v>6.1811717858145343</v>
      </c>
      <c r="K48" s="180">
        <f t="shared" ref="K48" si="28">SUM(I48)*1.25</f>
        <v>38.632323661340841</v>
      </c>
      <c r="L48" s="223">
        <f t="shared" si="25"/>
        <v>18.157192120830196</v>
      </c>
      <c r="M48" s="180">
        <f t="shared" si="15"/>
        <v>2.2696490151037745</v>
      </c>
      <c r="N48" s="180">
        <f t="shared" si="27"/>
        <v>-25.219403506015638</v>
      </c>
      <c r="O48" s="180">
        <f t="shared" si="16"/>
        <v>66.582423507084329</v>
      </c>
      <c r="P48" s="224">
        <f t="shared" si="17"/>
        <v>8.3228029383855411</v>
      </c>
    </row>
    <row r="49" spans="2:16">
      <c r="B49" s="219">
        <v>9</v>
      </c>
      <c r="C49" s="220">
        <v>123.48</v>
      </c>
      <c r="D49" s="180">
        <f t="shared" si="14"/>
        <v>13.72</v>
      </c>
      <c r="E49" s="181">
        <f t="shared" si="18"/>
        <v>50.873759999999997</v>
      </c>
      <c r="F49" s="180">
        <f t="shared" si="19"/>
        <v>2.13875844291465</v>
      </c>
      <c r="G49" s="180">
        <f t="shared" si="20"/>
        <v>9.5593880671574762</v>
      </c>
      <c r="H49" s="180">
        <f t="shared" si="21"/>
        <v>9.5802572294969277</v>
      </c>
      <c r="I49" s="224">
        <f t="shared" ref="I49:I70" si="29">SUM(E49:H49)</f>
        <v>72.152163739569048</v>
      </c>
      <c r="J49" s="180">
        <f t="shared" si="23"/>
        <v>14.430432747913811</v>
      </c>
      <c r="K49" s="180">
        <f t="shared" ref="K49:K70" si="30">SUM(I49)*1.25</f>
        <v>90.190204674461313</v>
      </c>
      <c r="L49" s="223">
        <f t="shared" si="25"/>
        <v>42.389396196996813</v>
      </c>
      <c r="M49" s="180">
        <f t="shared" si="15"/>
        <v>4.7099329107774235</v>
      </c>
      <c r="N49" s="180">
        <f t="shared" si="27"/>
        <v>24.232204076166617</v>
      </c>
      <c r="O49" s="180">
        <f t="shared" si="16"/>
        <v>155.4419158543873</v>
      </c>
      <c r="P49" s="224">
        <f t="shared" si="17"/>
        <v>17.27132398382081</v>
      </c>
    </row>
    <row r="50" spans="2:16">
      <c r="B50" s="225">
        <v>10</v>
      </c>
      <c r="C50" s="226">
        <v>162.69</v>
      </c>
      <c r="D50" s="190">
        <f t="shared" si="14"/>
        <v>16.268999999999998</v>
      </c>
      <c r="E50" s="181">
        <f t="shared" si="18"/>
        <v>67.028279999999995</v>
      </c>
      <c r="F50" s="190">
        <f t="shared" si="19"/>
        <v>2.2236186363243888</v>
      </c>
      <c r="G50" s="190">
        <f t="shared" si="20"/>
        <v>9.8151067267493008</v>
      </c>
      <c r="H50" s="190">
        <f t="shared" si="21"/>
        <v>9.5937942242800691</v>
      </c>
      <c r="I50" s="227">
        <f t="shared" si="29"/>
        <v>88.660799587353765</v>
      </c>
      <c r="J50" s="190">
        <f t="shared" si="23"/>
        <v>17.732159917470753</v>
      </c>
      <c r="K50" s="190">
        <f t="shared" si="30"/>
        <v>110.82599948419221</v>
      </c>
      <c r="L50" s="228">
        <f t="shared" si="25"/>
        <v>52.088219757570336</v>
      </c>
      <c r="M50" s="190">
        <f t="shared" si="15"/>
        <v>5.2088219757570338</v>
      </c>
      <c r="N50" s="190">
        <f t="shared" si="27"/>
        <v>9.6988235605735227</v>
      </c>
      <c r="O50" s="190">
        <f t="shared" si="16"/>
        <v>191.0075018510104</v>
      </c>
      <c r="P50" s="227">
        <f t="shared" si="17"/>
        <v>19.100750185101042</v>
      </c>
    </row>
    <row r="51" spans="2:16">
      <c r="B51" s="219">
        <v>11</v>
      </c>
      <c r="C51" s="229">
        <v>204.99</v>
      </c>
      <c r="D51" s="230">
        <f t="shared" si="14"/>
        <v>18.635454545454547</v>
      </c>
      <c r="E51" s="231">
        <f t="shared" si="18"/>
        <v>84.455879999999993</v>
      </c>
      <c r="F51" s="232">
        <f t="shared" si="19"/>
        <v>2.3059547098199999</v>
      </c>
      <c r="G51" s="232">
        <f t="shared" si="20"/>
        <v>10.052907217210834</v>
      </c>
      <c r="H51" s="232">
        <f t="shared" si="21"/>
        <v>9.6060767479037139</v>
      </c>
      <c r="I51" s="232">
        <f t="shared" si="29"/>
        <v>106.42081867493454</v>
      </c>
      <c r="J51" s="229">
        <f t="shared" si="23"/>
        <v>21.284163734986908</v>
      </c>
      <c r="K51" s="230">
        <f t="shared" si="30"/>
        <v>133.02602334366816</v>
      </c>
      <c r="L51" s="233">
        <f t="shared" si="25"/>
        <v>62.522230971524031</v>
      </c>
      <c r="M51" s="180">
        <f t="shared" si="15"/>
        <v>5.6838391792294578</v>
      </c>
      <c r="N51" s="180">
        <f t="shared" si="27"/>
        <v>10.434011213953696</v>
      </c>
      <c r="O51" s="180">
        <f t="shared" si="16"/>
        <v>229.2690209725786</v>
      </c>
      <c r="P51" s="224">
        <f t="shared" si="17"/>
        <v>20.842638270234417</v>
      </c>
    </row>
    <row r="52" spans="2:16">
      <c r="B52" s="219">
        <v>12</v>
      </c>
      <c r="C52" s="220">
        <v>249.25</v>
      </c>
      <c r="D52" s="224">
        <f t="shared" si="14"/>
        <v>20.770833333333332</v>
      </c>
      <c r="E52" s="181">
        <f t="shared" si="18"/>
        <v>102.69099999999999</v>
      </c>
      <c r="F52" s="180">
        <f t="shared" si="19"/>
        <v>2.3859743296647764</v>
      </c>
      <c r="G52" s="180">
        <f t="shared" si="20"/>
        <v>10.275576876818711</v>
      </c>
      <c r="H52" s="180">
        <f t="shared" si="21"/>
        <v>9.6173226844604631</v>
      </c>
      <c r="I52" s="180">
        <f t="shared" si="29"/>
        <v>124.96987389094393</v>
      </c>
      <c r="J52" s="220">
        <f t="shared" si="23"/>
        <v>24.993974778188786</v>
      </c>
      <c r="K52" s="224">
        <f t="shared" si="30"/>
        <v>156.21234236367991</v>
      </c>
      <c r="L52" s="233">
        <f t="shared" si="25"/>
        <v>73.419800910929553</v>
      </c>
      <c r="M52" s="180">
        <f t="shared" si="15"/>
        <v>6.1183167425774627</v>
      </c>
      <c r="N52" s="180">
        <f t="shared" si="27"/>
        <v>10.897569939405521</v>
      </c>
      <c r="O52" s="180">
        <f t="shared" si="16"/>
        <v>269.23040994037865</v>
      </c>
      <c r="P52" s="224">
        <f t="shared" si="17"/>
        <v>22.435867495031555</v>
      </c>
    </row>
    <row r="53" spans="2:16">
      <c r="B53" s="219">
        <v>13</v>
      </c>
      <c r="C53" s="220">
        <v>294.74</v>
      </c>
      <c r="D53" s="224">
        <f t="shared" si="14"/>
        <v>22.672307692307694</v>
      </c>
      <c r="E53" s="181">
        <f t="shared" si="18"/>
        <v>121.43288</v>
      </c>
      <c r="F53" s="180">
        <f t="shared" si="19"/>
        <v>2.4638626846906106</v>
      </c>
      <c r="G53" s="180">
        <f t="shared" si="20"/>
        <v>10.485279857662228</v>
      </c>
      <c r="H53" s="180">
        <f t="shared" si="21"/>
        <v>9.6276976213713876</v>
      </c>
      <c r="I53" s="180">
        <f t="shared" si="29"/>
        <v>144.00972016372424</v>
      </c>
      <c r="J53" s="220">
        <f t="shared" si="23"/>
        <v>28.801944032744849</v>
      </c>
      <c r="K53" s="224">
        <f t="shared" si="30"/>
        <v>180.01215020465531</v>
      </c>
      <c r="L53" s="233">
        <f t="shared" si="25"/>
        <v>84.60571059618799</v>
      </c>
      <c r="M53" s="180">
        <f t="shared" si="15"/>
        <v>6.508131584322153</v>
      </c>
      <c r="N53" s="180">
        <f t="shared" si="27"/>
        <v>11.185909685258437</v>
      </c>
      <c r="O53" s="180">
        <f t="shared" si="16"/>
        <v>310.24914075622132</v>
      </c>
      <c r="P53" s="224">
        <f t="shared" si="17"/>
        <v>23.865318519709334</v>
      </c>
    </row>
    <row r="54" spans="2:16">
      <c r="B54" s="219">
        <v>14</v>
      </c>
      <c r="C54" s="220">
        <v>341.1</v>
      </c>
      <c r="D54" s="224">
        <f t="shared" si="14"/>
        <v>24.364285714285717</v>
      </c>
      <c r="E54" s="181">
        <f t="shared" si="18"/>
        <v>140.53319999999999</v>
      </c>
      <c r="F54" s="180">
        <f t="shared" si="19"/>
        <v>2.5397854479645616</v>
      </c>
      <c r="G54" s="180">
        <f t="shared" si="20"/>
        <v>10.683732755642739</v>
      </c>
      <c r="H54" s="180">
        <f t="shared" si="21"/>
        <v>9.6373303591178026</v>
      </c>
      <c r="I54" s="180">
        <f t="shared" si="29"/>
        <v>163.39404856272512</v>
      </c>
      <c r="J54" s="220">
        <f t="shared" si="23"/>
        <v>32.678809712545025</v>
      </c>
      <c r="K54" s="224">
        <f t="shared" si="30"/>
        <v>204.24256070340641</v>
      </c>
      <c r="L54" s="233">
        <f t="shared" si="25"/>
        <v>95.994003530601006</v>
      </c>
      <c r="M54" s="180">
        <f t="shared" si="15"/>
        <v>6.8567145379000722</v>
      </c>
      <c r="N54" s="180">
        <f t="shared" si="27"/>
        <v>11.388292934413016</v>
      </c>
      <c r="O54" s="180">
        <f t="shared" si="16"/>
        <v>352.01001094671386</v>
      </c>
      <c r="P54" s="224">
        <f t="shared" si="17"/>
        <v>25.143572210479562</v>
      </c>
    </row>
    <row r="55" spans="2:16">
      <c r="B55" s="219">
        <v>15</v>
      </c>
      <c r="C55" s="220">
        <v>386.71</v>
      </c>
      <c r="D55" s="224">
        <f t="shared" si="14"/>
        <v>25.780666666666665</v>
      </c>
      <c r="E55" s="181">
        <f t="shared" si="18"/>
        <v>159.32451999999998</v>
      </c>
      <c r="F55" s="180">
        <f t="shared" si="19"/>
        <v>2.613891282195695</v>
      </c>
      <c r="G55" s="180">
        <f t="shared" si="20"/>
        <v>10.872321923282708</v>
      </c>
      <c r="H55" s="180">
        <f t="shared" si="21"/>
        <v>9.6463230647690708</v>
      </c>
      <c r="I55" s="180">
        <f t="shared" si="29"/>
        <v>182.45705627024742</v>
      </c>
      <c r="J55" s="220">
        <f t="shared" si="23"/>
        <v>36.491411254049488</v>
      </c>
      <c r="K55" s="224">
        <f t="shared" si="30"/>
        <v>228.07132033780928</v>
      </c>
      <c r="L55" s="233">
        <f t="shared" si="25"/>
        <v>107.19352055877036</v>
      </c>
      <c r="M55" s="180">
        <f t="shared" si="15"/>
        <v>7.1462347039180241</v>
      </c>
      <c r="N55" s="180">
        <f t="shared" si="27"/>
        <v>11.199517028169353</v>
      </c>
      <c r="O55" s="180">
        <f t="shared" si="16"/>
        <v>393.0786398890109</v>
      </c>
      <c r="P55" s="224">
        <f t="shared" si="17"/>
        <v>26.205242659267395</v>
      </c>
    </row>
    <row r="56" spans="2:16">
      <c r="B56" s="234">
        <v>16</v>
      </c>
      <c r="C56" s="220">
        <v>432.15</v>
      </c>
      <c r="D56" s="224">
        <f t="shared" si="14"/>
        <v>27.009374999999999</v>
      </c>
      <c r="E56" s="181">
        <f t="shared" si="18"/>
        <v>178.04579999999999</v>
      </c>
      <c r="F56" s="180">
        <f t="shared" si="19"/>
        <v>2.6863139688335167</v>
      </c>
      <c r="G56" s="180">
        <f t="shared" si="20"/>
        <v>11.052184378815911</v>
      </c>
      <c r="H56" s="180">
        <f t="shared" si="21"/>
        <v>9.6547581466232977</v>
      </c>
      <c r="I56" s="180">
        <f t="shared" si="29"/>
        <v>201.43905649427273</v>
      </c>
      <c r="J56" s="220">
        <f t="shared" si="23"/>
        <v>40.28781129885455</v>
      </c>
      <c r="K56" s="224">
        <f t="shared" si="30"/>
        <v>251.79882061784093</v>
      </c>
      <c r="L56" s="233">
        <f t="shared" si="25"/>
        <v>118.34544569038523</v>
      </c>
      <c r="M56" s="180">
        <f t="shared" si="15"/>
        <v>7.3965903556490771</v>
      </c>
      <c r="N56" s="180">
        <f t="shared" si="27"/>
        <v>11.151925131614874</v>
      </c>
      <c r="O56" s="180">
        <f t="shared" si="16"/>
        <v>433.97274934664262</v>
      </c>
      <c r="P56" s="224">
        <f t="shared" si="17"/>
        <v>27.123296834165163</v>
      </c>
    </row>
    <row r="57" spans="2:16">
      <c r="B57" s="219">
        <v>17</v>
      </c>
      <c r="C57" s="220">
        <v>476.6</v>
      </c>
      <c r="D57" s="224">
        <f t="shared" si="14"/>
        <v>28.035294117647059</v>
      </c>
      <c r="E57" s="181">
        <f t="shared" si="18"/>
        <v>196.35919999999999</v>
      </c>
      <c r="F57" s="180">
        <f t="shared" si="19"/>
        <v>2.7571742251890186</v>
      </c>
      <c r="G57" s="180">
        <f t="shared" si="20"/>
        <v>11.224265149452714</v>
      </c>
      <c r="H57" s="180">
        <f t="shared" si="21"/>
        <v>9.6627030440524955</v>
      </c>
      <c r="I57" s="180">
        <f t="shared" si="29"/>
        <v>220.00334241869425</v>
      </c>
      <c r="J57" s="220">
        <f t="shared" si="23"/>
        <v>44.000668483738849</v>
      </c>
      <c r="K57" s="224">
        <f t="shared" si="30"/>
        <v>275.00417802336779</v>
      </c>
      <c r="L57" s="233">
        <f t="shared" si="25"/>
        <v>129.25196367098286</v>
      </c>
      <c r="M57" s="180">
        <f t="shared" si="15"/>
        <v>7.6030566865284035</v>
      </c>
      <c r="N57" s="180">
        <f t="shared" si="27"/>
        <v>10.906517980597627</v>
      </c>
      <c r="O57" s="180">
        <f t="shared" si="16"/>
        <v>473.96695078149412</v>
      </c>
      <c r="P57" s="224">
        <f t="shared" si="17"/>
        <v>27.880408869499654</v>
      </c>
    </row>
    <row r="58" spans="2:16">
      <c r="B58" s="219">
        <v>18</v>
      </c>
      <c r="C58" s="220">
        <v>519.17999999999995</v>
      </c>
      <c r="D58" s="224">
        <f t="shared" si="14"/>
        <v>28.84333333333333</v>
      </c>
      <c r="E58" s="181">
        <f t="shared" si="18"/>
        <v>213.90215999999998</v>
      </c>
      <c r="F58" s="180">
        <f t="shared" si="19"/>
        <v>2.826581261639447</v>
      </c>
      <c r="G58" s="180">
        <f t="shared" si="20"/>
        <v>11.389358878201941</v>
      </c>
      <c r="H58" s="180">
        <f t="shared" si="21"/>
        <v>9.6702136481566594</v>
      </c>
      <c r="I58" s="180">
        <f t="shared" si="29"/>
        <v>237.78831378799799</v>
      </c>
      <c r="J58" s="220">
        <f t="shared" si="23"/>
        <v>47.557662757599601</v>
      </c>
      <c r="K58" s="224">
        <f t="shared" si="30"/>
        <v>297.23539223499751</v>
      </c>
      <c r="L58" s="233">
        <f t="shared" si="25"/>
        <v>139.70063435044881</v>
      </c>
      <c r="M58" s="180">
        <f t="shared" si="15"/>
        <v>7.7611463528027116</v>
      </c>
      <c r="N58" s="180">
        <f t="shared" si="27"/>
        <v>10.448670679465948</v>
      </c>
      <c r="O58" s="180">
        <f t="shared" si="16"/>
        <v>512.28222616309574</v>
      </c>
      <c r="P58" s="224">
        <f t="shared" si="17"/>
        <v>28.460123675727541</v>
      </c>
    </row>
    <row r="59" spans="2:16">
      <c r="B59" s="219">
        <v>19</v>
      </c>
      <c r="C59" s="220">
        <v>560.85</v>
      </c>
      <c r="D59" s="224">
        <f t="shared" si="14"/>
        <v>29.518421052631581</v>
      </c>
      <c r="E59" s="181">
        <f t="shared" si="18"/>
        <v>231.0702</v>
      </c>
      <c r="F59" s="180">
        <f t="shared" si="19"/>
        <v>2.8946341212816549</v>
      </c>
      <c r="G59" s="180">
        <f t="shared" si="20"/>
        <v>11.548140636445591</v>
      </c>
      <c r="H59" s="180">
        <f t="shared" si="21"/>
        <v>9.6773367976729006</v>
      </c>
      <c r="I59" s="180">
        <f t="shared" si="29"/>
        <v>255.19031155540014</v>
      </c>
      <c r="J59" s="220">
        <f t="shared" si="23"/>
        <v>51.038062311080033</v>
      </c>
      <c r="K59" s="224">
        <f t="shared" si="30"/>
        <v>318.98788944425019</v>
      </c>
      <c r="L59" s="233">
        <f t="shared" si="25"/>
        <v>149.92430803879759</v>
      </c>
      <c r="M59" s="180">
        <f t="shared" si="15"/>
        <v>7.8907530546735574</v>
      </c>
      <c r="N59" s="180">
        <f t="shared" si="27"/>
        <v>10.223673688348782</v>
      </c>
      <c r="O59" s="180">
        <f t="shared" si="16"/>
        <v>549.77243757827068</v>
      </c>
      <c r="P59" s="224">
        <f t="shared" si="17"/>
        <v>28.935391451487931</v>
      </c>
    </row>
    <row r="60" spans="2:16" ht="15" thickBot="1">
      <c r="B60" s="235">
        <v>20</v>
      </c>
      <c r="C60" s="226">
        <v>600.15</v>
      </c>
      <c r="D60" s="227">
        <f t="shared" si="14"/>
        <v>30.0075</v>
      </c>
      <c r="E60" s="191">
        <f t="shared" si="18"/>
        <v>247.26179999999997</v>
      </c>
      <c r="F60" s="180">
        <f t="shared" si="19"/>
        <v>2.9614228366854434</v>
      </c>
      <c r="G60" s="180">
        <f t="shared" si="20"/>
        <v>11.701189156566203</v>
      </c>
      <c r="H60" s="180">
        <f t="shared" si="21"/>
        <v>9.684112134856802</v>
      </c>
      <c r="I60" s="180">
        <f t="shared" si="29"/>
        <v>271.6085241281084</v>
      </c>
      <c r="J60" s="220">
        <f t="shared" si="23"/>
        <v>54.32170482562168</v>
      </c>
      <c r="K60" s="224">
        <f t="shared" si="30"/>
        <v>339.51065516013551</v>
      </c>
      <c r="L60" s="233">
        <f t="shared" si="25"/>
        <v>159.5700079252637</v>
      </c>
      <c r="M60" s="180">
        <f t="shared" si="15"/>
        <v>7.9785003962631844</v>
      </c>
      <c r="N60" s="180">
        <f t="shared" si="27"/>
        <v>9.6456998864661045</v>
      </c>
      <c r="O60" s="180">
        <f t="shared" si="16"/>
        <v>585.14321906194198</v>
      </c>
      <c r="P60" s="224">
        <f t="shared" si="17"/>
        <v>29.257160953097099</v>
      </c>
    </row>
    <row r="61" spans="2:16">
      <c r="B61" s="219">
        <v>21</v>
      </c>
      <c r="C61" s="229">
        <v>637.54999999999995</v>
      </c>
      <c r="D61" s="230">
        <f t="shared" si="14"/>
        <v>30.359523809523807</v>
      </c>
      <c r="E61" s="181">
        <f t="shared" si="18"/>
        <v>262.67059999999998</v>
      </c>
      <c r="F61" s="232">
        <f t="shared" si="19"/>
        <v>3.0270294322318421</v>
      </c>
      <c r="G61" s="232">
        <f t="shared" si="20"/>
        <v>11.849004630568835</v>
      </c>
      <c r="H61" s="232">
        <f t="shared" si="21"/>
        <v>9.6905735087435438</v>
      </c>
      <c r="I61" s="232">
        <f t="shared" si="29"/>
        <v>287.23720757154422</v>
      </c>
      <c r="J61" s="229">
        <f t="shared" si="23"/>
        <v>57.447441514308849</v>
      </c>
      <c r="K61" s="230">
        <f t="shared" si="30"/>
        <v>359.0465094644303</v>
      </c>
      <c r="L61" s="236">
        <f t="shared" si="25"/>
        <v>168.75185944828223</v>
      </c>
      <c r="M61" s="184">
        <f t="shared" si="15"/>
        <v>8.0358028308705833</v>
      </c>
      <c r="N61" s="184">
        <f t="shared" si="27"/>
        <v>9.1818515230185369</v>
      </c>
      <c r="O61" s="184">
        <f t="shared" si="16"/>
        <v>618.81306859685094</v>
      </c>
      <c r="P61" s="230">
        <f t="shared" si="17"/>
        <v>29.467288980802426</v>
      </c>
    </row>
    <row r="62" spans="2:16">
      <c r="B62" s="219">
        <v>22</v>
      </c>
      <c r="C62" s="220">
        <v>673.03</v>
      </c>
      <c r="D62" s="224">
        <f t="shared" si="14"/>
        <v>30.592272727272725</v>
      </c>
      <c r="E62" s="181">
        <f t="shared" si="18"/>
        <v>277.28835999999995</v>
      </c>
      <c r="F62" s="180">
        <f t="shared" si="19"/>
        <v>3.0915287955611603</v>
      </c>
      <c r="G62" s="180">
        <f t="shared" si="20"/>
        <v>11.992022540893728</v>
      </c>
      <c r="H62" s="180">
        <f t="shared" si="21"/>
        <v>9.6967500521362044</v>
      </c>
      <c r="I62" s="180">
        <f t="shared" si="29"/>
        <v>302.06866138859107</v>
      </c>
      <c r="J62" s="220">
        <f t="shared" si="23"/>
        <v>60.413732277718218</v>
      </c>
      <c r="K62" s="224">
        <f t="shared" si="30"/>
        <v>377.58582673573881</v>
      </c>
      <c r="L62" s="233">
        <f t="shared" si="25"/>
        <v>177.46533856579723</v>
      </c>
      <c r="M62" s="180">
        <f t="shared" si="15"/>
        <v>8.0666062984453291</v>
      </c>
      <c r="N62" s="180">
        <f t="shared" si="27"/>
        <v>8.7134791175149928</v>
      </c>
      <c r="O62" s="180">
        <f t="shared" si="16"/>
        <v>650.76539652077838</v>
      </c>
      <c r="P62" s="224">
        <f t="shared" si="17"/>
        <v>29.580245296399017</v>
      </c>
    </row>
    <row r="63" spans="2:16">
      <c r="B63" s="219">
        <v>23</v>
      </c>
      <c r="C63" s="220">
        <v>706.61</v>
      </c>
      <c r="D63" s="224">
        <f t="shared" si="14"/>
        <v>30.722173913043481</v>
      </c>
      <c r="E63" s="181">
        <f t="shared" si="18"/>
        <v>291.12331999999998</v>
      </c>
      <c r="F63" s="180">
        <f t="shared" si="19"/>
        <v>3.154989437647103</v>
      </c>
      <c r="G63" s="180">
        <f t="shared" si="20"/>
        <v>12.13062454602113</v>
      </c>
      <c r="H63" s="180">
        <f t="shared" si="21"/>
        <v>9.7026670193391595</v>
      </c>
      <c r="I63" s="180">
        <f t="shared" si="29"/>
        <v>316.11160100300737</v>
      </c>
      <c r="J63" s="220">
        <f t="shared" si="23"/>
        <v>63.222320200601473</v>
      </c>
      <c r="K63" s="224">
        <f t="shared" si="30"/>
        <v>395.13950125375919</v>
      </c>
      <c r="L63" s="233">
        <f t="shared" si="25"/>
        <v>185.71556558926682</v>
      </c>
      <c r="M63" s="180">
        <f t="shared" si="15"/>
        <v>8.0745898082289926</v>
      </c>
      <c r="N63" s="180">
        <f t="shared" si="27"/>
        <v>8.2502270234695914</v>
      </c>
      <c r="O63" s="180">
        <f t="shared" si="16"/>
        <v>681.01897901584141</v>
      </c>
      <c r="P63" s="224">
        <f t="shared" si="17"/>
        <v>29.609520826775714</v>
      </c>
    </row>
    <row r="64" spans="2:16">
      <c r="B64" s="219">
        <v>24</v>
      </c>
      <c r="C64" s="220">
        <v>738.25</v>
      </c>
      <c r="D64" s="224">
        <f t="shared" si="14"/>
        <v>30.760416666666668</v>
      </c>
      <c r="E64" s="181">
        <f t="shared" si="18"/>
        <v>304.15899999999999</v>
      </c>
      <c r="F64" s="180">
        <f t="shared" si="19"/>
        <v>3.2174741577568398</v>
      </c>
      <c r="G64" s="180">
        <f t="shared" si="20"/>
        <v>12.265147147364974</v>
      </c>
      <c r="H64" s="180">
        <f t="shared" si="21"/>
        <v>9.7083464457237678</v>
      </c>
      <c r="I64" s="180">
        <f t="shared" si="29"/>
        <v>329.34996775084556</v>
      </c>
      <c r="J64" s="220">
        <f t="shared" si="23"/>
        <v>65.869993550169113</v>
      </c>
      <c r="K64" s="224">
        <f t="shared" si="30"/>
        <v>411.68745968855694</v>
      </c>
      <c r="L64" s="233">
        <f t="shared" si="25"/>
        <v>193.49310605362174</v>
      </c>
      <c r="M64" s="180">
        <f t="shared" si="15"/>
        <v>8.0622127522342399</v>
      </c>
      <c r="N64" s="180">
        <f t="shared" si="27"/>
        <v>7.777540464354928</v>
      </c>
      <c r="O64" s="180">
        <f t="shared" si="16"/>
        <v>709.5392198986309</v>
      </c>
      <c r="P64" s="224">
        <f t="shared" si="17"/>
        <v>29.564134162442954</v>
      </c>
    </row>
    <row r="65" spans="2:16">
      <c r="B65" s="219">
        <v>25</v>
      </c>
      <c r="C65" s="220">
        <v>768.03</v>
      </c>
      <c r="D65" s="224">
        <f t="shared" si="14"/>
        <v>30.7212</v>
      </c>
      <c r="E65" s="181">
        <f t="shared" si="18"/>
        <v>316.42836</v>
      </c>
      <c r="F65" s="180">
        <f t="shared" si="19"/>
        <v>3.2790406268997003</v>
      </c>
      <c r="G65" s="180">
        <f t="shared" si="20"/>
        <v>12.395888662243445</v>
      </c>
      <c r="H65" s="180">
        <f t="shared" si="21"/>
        <v>9.7138076727554008</v>
      </c>
      <c r="I65" s="180">
        <f t="shared" si="29"/>
        <v>341.81709696189859</v>
      </c>
      <c r="J65" s="220">
        <f t="shared" si="23"/>
        <v>68.363419392379726</v>
      </c>
      <c r="K65" s="224">
        <f t="shared" si="30"/>
        <v>427.27137120237325</v>
      </c>
      <c r="L65" s="233">
        <f t="shared" si="25"/>
        <v>200.81754446511542</v>
      </c>
      <c r="M65" s="180">
        <f t="shared" si="15"/>
        <v>8.0327017786046166</v>
      </c>
      <c r="N65" s="180">
        <f t="shared" si="27"/>
        <v>7.3244384114936736</v>
      </c>
      <c r="O65" s="180">
        <f t="shared" si="16"/>
        <v>736.39793555357824</v>
      </c>
      <c r="P65" s="224">
        <f t="shared" si="17"/>
        <v>29.455917422143131</v>
      </c>
    </row>
    <row r="66" spans="2:16">
      <c r="B66" s="219">
        <v>26</v>
      </c>
      <c r="C66" s="220">
        <v>795.97</v>
      </c>
      <c r="D66" s="224">
        <f t="shared" si="14"/>
        <v>30.614230769230769</v>
      </c>
      <c r="E66" s="181">
        <f t="shared" si="18"/>
        <v>327.93964</v>
      </c>
      <c r="F66" s="180">
        <f t="shared" si="19"/>
        <v>3.3397419011875371</v>
      </c>
      <c r="G66" s="180">
        <f t="shared" si="20"/>
        <v>12.523114887767049</v>
      </c>
      <c r="H66" s="180">
        <f t="shared" si="21"/>
        <v>9.7190677701323498</v>
      </c>
      <c r="I66" s="180">
        <f t="shared" si="29"/>
        <v>353.52156455908698</v>
      </c>
      <c r="J66" s="220">
        <f t="shared" si="23"/>
        <v>70.704312911817397</v>
      </c>
      <c r="K66" s="224">
        <f t="shared" si="30"/>
        <v>441.90195569885873</v>
      </c>
      <c r="L66" s="233">
        <f t="shared" si="25"/>
        <v>207.6939191784636</v>
      </c>
      <c r="M66" s="180">
        <f t="shared" si="15"/>
        <v>7.9882276607101383</v>
      </c>
      <c r="N66" s="180">
        <f t="shared" si="27"/>
        <v>6.8763747133481843</v>
      </c>
      <c r="O66" s="180">
        <f t="shared" si="16"/>
        <v>761.61360162742596</v>
      </c>
      <c r="P66" s="224">
        <f t="shared" si="17"/>
        <v>29.292830831824077</v>
      </c>
    </row>
    <row r="67" spans="2:16">
      <c r="B67" s="219">
        <v>27</v>
      </c>
      <c r="C67" s="220">
        <v>820.93</v>
      </c>
      <c r="D67" s="224">
        <f t="shared" si="14"/>
        <v>30.404814814814813</v>
      </c>
      <c r="E67" s="181">
        <f t="shared" si="18"/>
        <v>338.22315999999995</v>
      </c>
      <c r="F67" s="180">
        <f t="shared" si="19"/>
        <v>3.3996268747374501</v>
      </c>
      <c r="G67" s="180">
        <f t="shared" si="20"/>
        <v>12.647063741757972</v>
      </c>
      <c r="H67" s="180">
        <f t="shared" si="21"/>
        <v>9.7241418783258631</v>
      </c>
      <c r="I67" s="180">
        <f t="shared" si="29"/>
        <v>363.99399249482121</v>
      </c>
      <c r="J67" s="220">
        <f t="shared" si="23"/>
        <v>72.798798498964246</v>
      </c>
      <c r="K67" s="224">
        <f t="shared" si="30"/>
        <v>454.99249061852652</v>
      </c>
      <c r="L67" s="233">
        <f t="shared" si="25"/>
        <v>213.84647059070744</v>
      </c>
      <c r="M67" s="180">
        <f t="shared" si="15"/>
        <v>7.9202396515076829</v>
      </c>
      <c r="N67" s="180">
        <f t="shared" si="27"/>
        <v>6.1525514122438381</v>
      </c>
      <c r="O67" s="180">
        <f t="shared" si="16"/>
        <v>784.17500765612419</v>
      </c>
      <c r="P67" s="224">
        <f t="shared" si="17"/>
        <v>29.043518802078673</v>
      </c>
    </row>
    <row r="68" spans="2:16">
      <c r="B68" s="219">
        <v>28</v>
      </c>
      <c r="C68" s="220">
        <v>845.45</v>
      </c>
      <c r="D68" s="224">
        <f t="shared" si="14"/>
        <v>30.19464285714286</v>
      </c>
      <c r="E68" s="181">
        <f t="shared" si="18"/>
        <v>348.3254</v>
      </c>
      <c r="F68" s="180">
        <f t="shared" si="19"/>
        <v>3.4587406802631193</v>
      </c>
      <c r="G68" s="180">
        <f t="shared" si="20"/>
        <v>12.767949096101903</v>
      </c>
      <c r="H68" s="180">
        <f t="shared" si="21"/>
        <v>9.7290434888827786</v>
      </c>
      <c r="I68" s="180">
        <f t="shared" si="29"/>
        <v>374.28113326524783</v>
      </c>
      <c r="J68" s="220">
        <f t="shared" si="23"/>
        <v>74.856226653049575</v>
      </c>
      <c r="K68" s="224">
        <f t="shared" si="30"/>
        <v>467.85141658155976</v>
      </c>
      <c r="L68" s="233">
        <f t="shared" si="25"/>
        <v>219.89016579333307</v>
      </c>
      <c r="M68" s="180">
        <f t="shared" si="15"/>
        <v>7.8532202069047523</v>
      </c>
      <c r="N68" s="180">
        <f t="shared" si="27"/>
        <v>6.0436952026256279</v>
      </c>
      <c r="O68" s="180">
        <f t="shared" si="16"/>
        <v>806.33723796415234</v>
      </c>
      <c r="P68" s="224">
        <f t="shared" si="17"/>
        <v>28.797758498719727</v>
      </c>
    </row>
    <row r="69" spans="2:16">
      <c r="B69" s="219">
        <v>29</v>
      </c>
      <c r="C69" s="220">
        <v>866.84</v>
      </c>
      <c r="D69" s="224">
        <f t="shared" si="14"/>
        <v>29.89103448275862</v>
      </c>
      <c r="E69" s="181">
        <f t="shared" si="18"/>
        <v>357.13808</v>
      </c>
      <c r="F69" s="180">
        <f t="shared" si="19"/>
        <v>3.5171250442710829</v>
      </c>
      <c r="G69" s="180">
        <f t="shared" si="20"/>
        <v>12.885963966577297</v>
      </c>
      <c r="H69" s="180">
        <f t="shared" si="21"/>
        <v>9.733784675588165</v>
      </c>
      <c r="I69" s="180">
        <f t="shared" si="29"/>
        <v>383.27495368643656</v>
      </c>
      <c r="J69" s="220">
        <f t="shared" si="23"/>
        <v>76.654990737287321</v>
      </c>
      <c r="K69" s="224">
        <f t="shared" si="30"/>
        <v>479.09369210804573</v>
      </c>
      <c r="L69" s="233">
        <f t="shared" si="25"/>
        <v>225.17403529078149</v>
      </c>
      <c r="M69" s="180">
        <f t="shared" si="15"/>
        <v>7.7646219065786717</v>
      </c>
      <c r="N69" s="180">
        <f t="shared" si="27"/>
        <v>5.2838694974484213</v>
      </c>
      <c r="O69" s="180">
        <f t="shared" si="16"/>
        <v>825.71318741129573</v>
      </c>
      <c r="P69" s="224">
        <f t="shared" si="17"/>
        <v>28.472868531423991</v>
      </c>
    </row>
    <row r="70" spans="2:16">
      <c r="B70" s="216">
        <v>30</v>
      </c>
      <c r="C70" s="226">
        <v>886.41</v>
      </c>
      <c r="D70" s="227">
        <f t="shared" si="14"/>
        <v>29.547000000000001</v>
      </c>
      <c r="E70" s="191">
        <f t="shared" si="18"/>
        <v>365.20091999999994</v>
      </c>
      <c r="F70" s="190">
        <f t="shared" si="19"/>
        <v>3.5748186027520603</v>
      </c>
      <c r="G70" s="190">
        <f t="shared" si="20"/>
        <v>13.001283185428832</v>
      </c>
      <c r="H70" s="190">
        <f t="shared" si="21"/>
        <v>9.7383762864781662</v>
      </c>
      <c r="I70" s="190">
        <f t="shared" si="29"/>
        <v>391.515398074659</v>
      </c>
      <c r="J70" s="226">
        <f t="shared" si="23"/>
        <v>78.303079614931804</v>
      </c>
      <c r="K70" s="227">
        <f t="shared" si="30"/>
        <v>489.39424759332377</v>
      </c>
      <c r="L70" s="237">
        <f t="shared" si="25"/>
        <v>230.01529636886215</v>
      </c>
      <c r="M70" s="190">
        <f t="shared" si="15"/>
        <v>7.6671765456287382</v>
      </c>
      <c r="N70" s="190">
        <f t="shared" si="27"/>
        <v>4.8412610780806631</v>
      </c>
      <c r="O70" s="190">
        <f t="shared" si="16"/>
        <v>843.46609178461745</v>
      </c>
      <c r="P70" s="227">
        <f t="shared" si="17"/>
        <v>28.11553639282058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6566-6CA6-3644-B113-1560E6B89C5C}">
  <dimension ref="A1:BS112"/>
  <sheetViews>
    <sheetView topLeftCell="A17" zoomScale="60" zoomScaleNormal="60" workbookViewId="0">
      <selection activeCell="M99" sqref="M99"/>
    </sheetView>
  </sheetViews>
  <sheetFormatPr defaultColWidth="11.07421875" defaultRowHeight="14.6"/>
  <cols>
    <col min="1" max="1" width="2.69140625" customWidth="1"/>
    <col min="2" max="2" width="10.84375" style="2"/>
    <col min="12" max="13" width="12.84375" customWidth="1"/>
    <col min="16" max="16" width="10.84375" style="6"/>
    <col min="25" max="25" width="11.69140625" customWidth="1"/>
    <col min="27" max="27" width="12" bestFit="1" customWidth="1"/>
    <col min="30" max="41" width="11.69140625" customWidth="1"/>
  </cols>
  <sheetData>
    <row r="1" spans="1:58" s="13" customFormat="1" ht="22" customHeight="1">
      <c r="A1" s="10" t="s">
        <v>13</v>
      </c>
      <c r="B1" s="65"/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54"/>
      <c r="Q1" s="12"/>
      <c r="R1" s="12"/>
      <c r="S1" s="12"/>
    </row>
    <row r="3" spans="1:58" ht="18.45">
      <c r="A3" s="14" t="s">
        <v>11</v>
      </c>
      <c r="B3" s="66"/>
    </row>
    <row r="4" spans="1:58" ht="18.45">
      <c r="A4" s="15"/>
      <c r="B4" s="58" t="s">
        <v>14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D4" s="57" t="s">
        <v>34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  <row r="5" spans="1:58"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58">
      <c r="B6" s="55" t="s">
        <v>5</v>
      </c>
      <c r="C6" s="68" t="s">
        <v>15</v>
      </c>
      <c r="D6" s="68" t="s">
        <v>16</v>
      </c>
      <c r="E6" s="68" t="s">
        <v>17</v>
      </c>
      <c r="F6" s="68" t="s">
        <v>18</v>
      </c>
      <c r="G6" s="68" t="s">
        <v>19</v>
      </c>
      <c r="H6" s="68" t="s">
        <v>20</v>
      </c>
      <c r="I6" s="68" t="s">
        <v>21</v>
      </c>
      <c r="J6" s="68" t="s">
        <v>22</v>
      </c>
      <c r="K6" s="68" t="s">
        <v>23</v>
      </c>
      <c r="L6" s="69" t="s">
        <v>24</v>
      </c>
      <c r="M6" s="69" t="s">
        <v>25</v>
      </c>
      <c r="N6" s="69" t="s">
        <v>29</v>
      </c>
      <c r="O6" s="69" t="s">
        <v>30</v>
      </c>
      <c r="P6" s="69" t="s">
        <v>31</v>
      </c>
      <c r="Q6" s="69" t="s">
        <v>187</v>
      </c>
      <c r="R6" s="69" t="s">
        <v>188</v>
      </c>
      <c r="S6" s="69" t="s">
        <v>32</v>
      </c>
      <c r="T6" s="69" t="s">
        <v>33</v>
      </c>
      <c r="U6" s="69" t="s">
        <v>189</v>
      </c>
      <c r="V6" s="69" t="s">
        <v>190</v>
      </c>
      <c r="W6" s="69" t="s">
        <v>191</v>
      </c>
      <c r="X6" s="69" t="s">
        <v>192</v>
      </c>
      <c r="Y6" s="69" t="s">
        <v>193</v>
      </c>
      <c r="Z6" s="69" t="s">
        <v>194</v>
      </c>
      <c r="AA6" s="69" t="s">
        <v>195</v>
      </c>
      <c r="AB6" s="70" t="s">
        <v>26</v>
      </c>
      <c r="AD6" s="55" t="s">
        <v>5</v>
      </c>
      <c r="AE6" s="68" t="s">
        <v>15</v>
      </c>
      <c r="AF6" s="68" t="s">
        <v>16</v>
      </c>
      <c r="AG6" s="68" t="s">
        <v>17</v>
      </c>
      <c r="AH6" s="68" t="s">
        <v>18</v>
      </c>
      <c r="AI6" s="68" t="s">
        <v>19</v>
      </c>
      <c r="AJ6" s="68" t="s">
        <v>20</v>
      </c>
      <c r="AK6" s="68" t="s">
        <v>21</v>
      </c>
      <c r="AL6" s="68" t="s">
        <v>22</v>
      </c>
      <c r="AM6" s="68" t="s">
        <v>23</v>
      </c>
      <c r="AN6" s="69" t="s">
        <v>24</v>
      </c>
      <c r="AO6" s="69" t="s">
        <v>25</v>
      </c>
      <c r="AP6" s="69" t="s">
        <v>29</v>
      </c>
      <c r="AQ6" s="69" t="s">
        <v>30</v>
      </c>
      <c r="AR6" s="69" t="s">
        <v>31</v>
      </c>
      <c r="AS6" s="69" t="s">
        <v>187</v>
      </c>
      <c r="AT6" s="69" t="s">
        <v>188</v>
      </c>
      <c r="AU6" s="69" t="s">
        <v>32</v>
      </c>
      <c r="AV6" s="69" t="s">
        <v>33</v>
      </c>
      <c r="AW6" s="69" t="s">
        <v>189</v>
      </c>
      <c r="AX6" s="69" t="s">
        <v>190</v>
      </c>
      <c r="AY6" s="82" t="s">
        <v>191</v>
      </c>
      <c r="AZ6" s="83" t="s">
        <v>192</v>
      </c>
      <c r="BA6" s="83" t="s">
        <v>193</v>
      </c>
      <c r="BB6" s="83" t="s">
        <v>194</v>
      </c>
      <c r="BC6" s="83" t="s">
        <v>195</v>
      </c>
      <c r="BD6" s="84" t="s">
        <v>27</v>
      </c>
      <c r="BE6" s="3"/>
    </row>
    <row r="7" spans="1:58">
      <c r="B7" s="5">
        <f t="shared" ref="B7:B9" si="0">B8-1</f>
        <v>2017</v>
      </c>
      <c r="C7" s="32">
        <f>'Project area'!D9</f>
        <v>267.16000000000008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4">
        <f t="shared" ref="AB7:AB36" si="1">SUM(C7:W7)</f>
        <v>267.16000000000008</v>
      </c>
      <c r="AC7" s="19"/>
      <c r="AD7" s="5">
        <f t="shared" ref="AD7:AD9" si="2">AD8-1</f>
        <v>2017</v>
      </c>
      <c r="AE7" s="19">
        <f t="shared" ref="AE7:AE36" si="3">C7*AE$37</f>
        <v>80.148000000000025</v>
      </c>
      <c r="AF7" s="19">
        <f t="shared" ref="AF7:AF36" si="4">D7*AF$37</f>
        <v>0</v>
      </c>
      <c r="AG7" s="19">
        <f t="shared" ref="AG7:AG36" si="5">E7*AG$37</f>
        <v>0</v>
      </c>
      <c r="AH7" s="19">
        <f t="shared" ref="AH7:AH36" si="6">F7*AH$37</f>
        <v>0</v>
      </c>
      <c r="AI7" s="19">
        <f t="shared" ref="AI7:AI36" si="7">G7*AI$37</f>
        <v>0</v>
      </c>
      <c r="AJ7" s="19">
        <f t="shared" ref="AJ7:AJ36" si="8">H7*AJ$37</f>
        <v>0</v>
      </c>
      <c r="AK7" s="19">
        <f t="shared" ref="AK7:AK36" si="9">I7*AK$37</f>
        <v>0</v>
      </c>
      <c r="AL7" s="19">
        <f t="shared" ref="AL7:AL36" si="10">J7*AL$37</f>
        <v>0</v>
      </c>
      <c r="AM7" s="19">
        <f t="shared" ref="AM7:AM36" si="11">K7*AM$37</f>
        <v>0</v>
      </c>
      <c r="AN7" s="19">
        <f t="shared" ref="AN7:AN36" si="12">L7*AN$37</f>
        <v>0</v>
      </c>
      <c r="AO7" s="19">
        <f t="shared" ref="AO7:AO36" si="13">M7*AO$37</f>
        <v>0</v>
      </c>
      <c r="AP7" s="19">
        <f t="shared" ref="AP7:AP36" si="14">N7*AP$37</f>
        <v>0</v>
      </c>
      <c r="AQ7" s="19">
        <f t="shared" ref="AQ7:AQ36" si="15">O7*AQ$37</f>
        <v>0</v>
      </c>
      <c r="AR7" s="19">
        <f t="shared" ref="AR7:AR36" si="16">P7*AR$37</f>
        <v>0</v>
      </c>
      <c r="AS7" s="19">
        <f t="shared" ref="AS7:AS36" si="17">Q7*AS$37</f>
        <v>0</v>
      </c>
      <c r="AT7" s="19">
        <f t="shared" ref="AT7:AT36" si="18">R7*AT$37</f>
        <v>0</v>
      </c>
      <c r="AU7" s="19">
        <f t="shared" ref="AU7:AU36" si="19">S7*AU$37</f>
        <v>0</v>
      </c>
      <c r="AV7" s="19">
        <f t="shared" ref="AV7:AV36" si="20">T7*AV$37</f>
        <v>0</v>
      </c>
      <c r="AW7" s="19">
        <f t="shared" ref="AW7:AW36" si="21">U7*AW$37</f>
        <v>0</v>
      </c>
      <c r="AX7" s="19">
        <f t="shared" ref="AX7:AX36" si="22">V7*AX$37</f>
        <v>0</v>
      </c>
      <c r="AY7" s="19">
        <f t="shared" ref="AY7:AY36" si="23">W7*AY$37</f>
        <v>0</v>
      </c>
      <c r="AZ7" s="19">
        <f t="shared" ref="AZ7:AZ36" si="24">X7*AZ$37</f>
        <v>0</v>
      </c>
      <c r="BA7" s="19">
        <f t="shared" ref="BA7:BA36" si="25">Y7*BA$37</f>
        <v>0</v>
      </c>
      <c r="BB7" s="19">
        <f t="shared" ref="BB7:BB36" si="26">Z7*BB$37</f>
        <v>0</v>
      </c>
      <c r="BC7" s="19">
        <f t="shared" ref="BC7:BC36" si="27">AA7*BC$37</f>
        <v>0</v>
      </c>
      <c r="BD7" s="24">
        <f>SUM(AE7:BC7)</f>
        <v>80.148000000000025</v>
      </c>
      <c r="BF7" s="19"/>
    </row>
    <row r="8" spans="1:58">
      <c r="B8" s="5">
        <f t="shared" si="0"/>
        <v>2018</v>
      </c>
      <c r="C8" s="32">
        <f>'Project area'!D10</f>
        <v>100.89999999999999</v>
      </c>
      <c r="D8" s="19">
        <f>C7</f>
        <v>267.16000000000008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4">
        <f t="shared" si="1"/>
        <v>368.06000000000006</v>
      </c>
      <c r="AC8" s="19"/>
      <c r="AD8" s="5">
        <f t="shared" si="2"/>
        <v>2018</v>
      </c>
      <c r="AE8" s="19">
        <f t="shared" si="3"/>
        <v>30.269999999999996</v>
      </c>
      <c r="AF8" s="19">
        <f t="shared" si="4"/>
        <v>3632.2340061310888</v>
      </c>
      <c r="AG8" s="19">
        <f t="shared" si="5"/>
        <v>0</v>
      </c>
      <c r="AH8" s="19">
        <f t="shared" si="6"/>
        <v>0</v>
      </c>
      <c r="AI8" s="19">
        <f t="shared" si="7"/>
        <v>0</v>
      </c>
      <c r="AJ8" s="19">
        <f t="shared" si="8"/>
        <v>0</v>
      </c>
      <c r="AK8" s="19">
        <f t="shared" si="9"/>
        <v>0</v>
      </c>
      <c r="AL8" s="19">
        <f t="shared" si="10"/>
        <v>0</v>
      </c>
      <c r="AM8" s="19">
        <f t="shared" si="11"/>
        <v>0</v>
      </c>
      <c r="AN8" s="19">
        <f t="shared" si="12"/>
        <v>0</v>
      </c>
      <c r="AO8" s="19">
        <f t="shared" si="13"/>
        <v>0</v>
      </c>
      <c r="AP8" s="19">
        <f t="shared" si="14"/>
        <v>0</v>
      </c>
      <c r="AQ8" s="19">
        <f t="shared" si="15"/>
        <v>0</v>
      </c>
      <c r="AR8" s="19">
        <f t="shared" si="16"/>
        <v>0</v>
      </c>
      <c r="AS8" s="19">
        <f t="shared" si="17"/>
        <v>0</v>
      </c>
      <c r="AT8" s="19">
        <f t="shared" si="18"/>
        <v>0</v>
      </c>
      <c r="AU8" s="19">
        <f t="shared" si="19"/>
        <v>0</v>
      </c>
      <c r="AV8" s="19">
        <f t="shared" si="20"/>
        <v>0</v>
      </c>
      <c r="AW8" s="19">
        <f t="shared" si="21"/>
        <v>0</v>
      </c>
      <c r="AX8" s="19">
        <f t="shared" si="22"/>
        <v>0</v>
      </c>
      <c r="AY8" s="19">
        <f t="shared" si="23"/>
        <v>0</v>
      </c>
      <c r="AZ8" s="19">
        <f t="shared" si="24"/>
        <v>0</v>
      </c>
      <c r="BA8" s="19">
        <f t="shared" si="25"/>
        <v>0</v>
      </c>
      <c r="BB8" s="19">
        <f t="shared" si="26"/>
        <v>0</v>
      </c>
      <c r="BC8" s="19">
        <f t="shared" si="27"/>
        <v>0</v>
      </c>
      <c r="BD8" s="24">
        <f t="shared" ref="BD8:BD36" si="28">SUM(AE8:BC8)</f>
        <v>3662.5040061310888</v>
      </c>
      <c r="BF8" s="19"/>
    </row>
    <row r="9" spans="1:58">
      <c r="B9" s="5">
        <f t="shared" si="0"/>
        <v>2019</v>
      </c>
      <c r="C9" s="32">
        <f>'Project area'!D11</f>
        <v>243.04000000000008</v>
      </c>
      <c r="D9" s="19">
        <f t="shared" ref="D9:D36" si="29">C8</f>
        <v>100.89999999999999</v>
      </c>
      <c r="E9" s="19">
        <f>C7</f>
        <v>267.16000000000008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4">
        <f t="shared" si="1"/>
        <v>611.10000000000014</v>
      </c>
      <c r="AC9" s="19"/>
      <c r="AD9" s="5">
        <f t="shared" si="2"/>
        <v>2019</v>
      </c>
      <c r="AE9" s="19">
        <f t="shared" si="3"/>
        <v>72.91200000000002</v>
      </c>
      <c r="AF9" s="19">
        <f t="shared" si="4"/>
        <v>1371.8086959822831</v>
      </c>
      <c r="AG9" s="19">
        <f t="shared" si="5"/>
        <v>9316.9155003900214</v>
      </c>
      <c r="AH9" s="19">
        <f t="shared" si="6"/>
        <v>0</v>
      </c>
      <c r="AI9" s="19">
        <f t="shared" si="7"/>
        <v>0</v>
      </c>
      <c r="AJ9" s="19">
        <f t="shared" si="8"/>
        <v>0</v>
      </c>
      <c r="AK9" s="19">
        <f t="shared" si="9"/>
        <v>0</v>
      </c>
      <c r="AL9" s="19">
        <f t="shared" si="10"/>
        <v>0</v>
      </c>
      <c r="AM9" s="19">
        <f t="shared" si="11"/>
        <v>0</v>
      </c>
      <c r="AN9" s="19">
        <f t="shared" si="12"/>
        <v>0</v>
      </c>
      <c r="AO9" s="19">
        <f t="shared" si="13"/>
        <v>0</v>
      </c>
      <c r="AP9" s="19">
        <f t="shared" si="14"/>
        <v>0</v>
      </c>
      <c r="AQ9" s="19">
        <f t="shared" si="15"/>
        <v>0</v>
      </c>
      <c r="AR9" s="19">
        <f t="shared" si="16"/>
        <v>0</v>
      </c>
      <c r="AS9" s="19">
        <f t="shared" si="17"/>
        <v>0</v>
      </c>
      <c r="AT9" s="19">
        <f t="shared" si="18"/>
        <v>0</v>
      </c>
      <c r="AU9" s="19">
        <f t="shared" si="19"/>
        <v>0</v>
      </c>
      <c r="AV9" s="19">
        <f t="shared" si="20"/>
        <v>0</v>
      </c>
      <c r="AW9" s="19">
        <f t="shared" si="21"/>
        <v>0</v>
      </c>
      <c r="AX9" s="19">
        <f t="shared" si="22"/>
        <v>0</v>
      </c>
      <c r="AY9" s="19">
        <f t="shared" si="23"/>
        <v>0</v>
      </c>
      <c r="AZ9" s="19">
        <f t="shared" si="24"/>
        <v>0</v>
      </c>
      <c r="BA9" s="19">
        <f t="shared" si="25"/>
        <v>0</v>
      </c>
      <c r="BB9" s="19">
        <f t="shared" si="26"/>
        <v>0</v>
      </c>
      <c r="BC9" s="19">
        <f t="shared" si="27"/>
        <v>0</v>
      </c>
      <c r="BD9" s="24">
        <f t="shared" si="28"/>
        <v>10761.636196372305</v>
      </c>
      <c r="BF9" s="19"/>
    </row>
    <row r="10" spans="1:58">
      <c r="B10" s="5">
        <f>B11-1</f>
        <v>2020</v>
      </c>
      <c r="C10" s="32">
        <f>'Project area'!D12</f>
        <v>69.319999999999979</v>
      </c>
      <c r="D10" s="19">
        <f t="shared" si="29"/>
        <v>243.04000000000008</v>
      </c>
      <c r="E10" s="19">
        <f t="shared" ref="E10:E36" si="30">C8</f>
        <v>100.89999999999999</v>
      </c>
      <c r="F10" s="19">
        <f>C7</f>
        <v>267.16000000000008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24">
        <f t="shared" si="1"/>
        <v>680.42000000000007</v>
      </c>
      <c r="AC10" s="19"/>
      <c r="AD10" s="5">
        <f>AD11-1</f>
        <v>2020</v>
      </c>
      <c r="AE10" s="19">
        <f t="shared" si="3"/>
        <v>20.795999999999992</v>
      </c>
      <c r="AF10" s="19">
        <f t="shared" si="4"/>
        <v>3304.3051087367116</v>
      </c>
      <c r="AG10" s="19">
        <f t="shared" si="5"/>
        <v>3518.7781628587841</v>
      </c>
      <c r="AH10" s="19">
        <f t="shared" si="6"/>
        <v>14501.84125843615</v>
      </c>
      <c r="AI10" s="19">
        <f t="shared" si="7"/>
        <v>0</v>
      </c>
      <c r="AJ10" s="19">
        <f t="shared" si="8"/>
        <v>0</v>
      </c>
      <c r="AK10" s="19">
        <f t="shared" si="9"/>
        <v>0</v>
      </c>
      <c r="AL10" s="19">
        <f t="shared" si="10"/>
        <v>0</v>
      </c>
      <c r="AM10" s="19">
        <f t="shared" si="11"/>
        <v>0</v>
      </c>
      <c r="AN10" s="19">
        <f t="shared" si="12"/>
        <v>0</v>
      </c>
      <c r="AO10" s="19">
        <f t="shared" si="13"/>
        <v>0</v>
      </c>
      <c r="AP10" s="19">
        <f t="shared" si="14"/>
        <v>0</v>
      </c>
      <c r="AQ10" s="19">
        <f t="shared" si="15"/>
        <v>0</v>
      </c>
      <c r="AR10" s="19">
        <f t="shared" si="16"/>
        <v>0</v>
      </c>
      <c r="AS10" s="19">
        <f t="shared" si="17"/>
        <v>0</v>
      </c>
      <c r="AT10" s="19">
        <f t="shared" si="18"/>
        <v>0</v>
      </c>
      <c r="AU10" s="19">
        <f t="shared" si="19"/>
        <v>0</v>
      </c>
      <c r="AV10" s="19">
        <f t="shared" si="20"/>
        <v>0</v>
      </c>
      <c r="AW10" s="19">
        <f t="shared" si="21"/>
        <v>0</v>
      </c>
      <c r="AX10" s="19">
        <f t="shared" si="22"/>
        <v>0</v>
      </c>
      <c r="AY10" s="19">
        <f t="shared" si="23"/>
        <v>0</v>
      </c>
      <c r="AZ10" s="19">
        <f t="shared" si="24"/>
        <v>0</v>
      </c>
      <c r="BA10" s="19">
        <f t="shared" si="25"/>
        <v>0</v>
      </c>
      <c r="BB10" s="19">
        <f t="shared" si="26"/>
        <v>0</v>
      </c>
      <c r="BC10" s="19">
        <f t="shared" si="27"/>
        <v>0</v>
      </c>
      <c r="BD10" s="24">
        <f t="shared" si="28"/>
        <v>21345.720530031645</v>
      </c>
      <c r="BF10" s="19"/>
    </row>
    <row r="11" spans="1:58">
      <c r="B11" s="5">
        <v>2021</v>
      </c>
      <c r="C11" s="32">
        <f>'Project area'!D13</f>
        <v>142.29999999999998</v>
      </c>
      <c r="D11" s="19">
        <f t="shared" si="29"/>
        <v>69.319999999999979</v>
      </c>
      <c r="E11" s="19">
        <f t="shared" si="30"/>
        <v>243.04000000000008</v>
      </c>
      <c r="F11" s="19">
        <f>C8</f>
        <v>100.89999999999999</v>
      </c>
      <c r="G11" s="19">
        <f>C7</f>
        <v>267.16000000000008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4">
        <f t="shared" si="1"/>
        <v>822.72000000000014</v>
      </c>
      <c r="AC11" s="19"/>
      <c r="AD11" s="5">
        <v>2021</v>
      </c>
      <c r="AE11" s="19">
        <f t="shared" si="3"/>
        <v>42.689999999999991</v>
      </c>
      <c r="AF11" s="19">
        <f t="shared" si="4"/>
        <v>942.45568687306081</v>
      </c>
      <c r="AG11" s="19">
        <f t="shared" si="5"/>
        <v>8475.756637276505</v>
      </c>
      <c r="AH11" s="19">
        <f t="shared" si="6"/>
        <v>5477.00173295481</v>
      </c>
      <c r="AI11" s="19">
        <f t="shared" si="7"/>
        <v>19392.783949839508</v>
      </c>
      <c r="AJ11" s="19">
        <f t="shared" si="8"/>
        <v>0</v>
      </c>
      <c r="AK11" s="19">
        <f t="shared" si="9"/>
        <v>0</v>
      </c>
      <c r="AL11" s="19">
        <f t="shared" si="10"/>
        <v>0</v>
      </c>
      <c r="AM11" s="19">
        <f t="shared" si="11"/>
        <v>0</v>
      </c>
      <c r="AN11" s="19">
        <f t="shared" si="12"/>
        <v>0</v>
      </c>
      <c r="AO11" s="19">
        <f t="shared" si="13"/>
        <v>0</v>
      </c>
      <c r="AP11" s="19">
        <f t="shared" si="14"/>
        <v>0</v>
      </c>
      <c r="AQ11" s="19">
        <f t="shared" si="15"/>
        <v>0</v>
      </c>
      <c r="AR11" s="19">
        <f t="shared" si="16"/>
        <v>0</v>
      </c>
      <c r="AS11" s="19">
        <f t="shared" si="17"/>
        <v>0</v>
      </c>
      <c r="AT11" s="19">
        <f t="shared" si="18"/>
        <v>0</v>
      </c>
      <c r="AU11" s="19">
        <f t="shared" si="19"/>
        <v>0</v>
      </c>
      <c r="AV11" s="19">
        <f t="shared" si="20"/>
        <v>0</v>
      </c>
      <c r="AW11" s="19">
        <f t="shared" si="21"/>
        <v>0</v>
      </c>
      <c r="AX11" s="19">
        <f t="shared" si="22"/>
        <v>0</v>
      </c>
      <c r="AY11" s="19">
        <f t="shared" si="23"/>
        <v>0</v>
      </c>
      <c r="AZ11" s="19">
        <f t="shared" si="24"/>
        <v>0</v>
      </c>
      <c r="BA11" s="19">
        <f t="shared" si="25"/>
        <v>0</v>
      </c>
      <c r="BB11" s="19">
        <f t="shared" si="26"/>
        <v>0</v>
      </c>
      <c r="BC11" s="19">
        <f t="shared" si="27"/>
        <v>0</v>
      </c>
      <c r="BD11" s="24">
        <f t="shared" si="28"/>
        <v>34330.688006943885</v>
      </c>
      <c r="BF11" s="19"/>
    </row>
    <row r="12" spans="1:58">
      <c r="B12" s="5">
        <f>B11+1</f>
        <v>2022</v>
      </c>
      <c r="C12" s="32">
        <f>'Project area'!D14</f>
        <v>35.19</v>
      </c>
      <c r="D12" s="19">
        <f t="shared" si="29"/>
        <v>142.29999999999998</v>
      </c>
      <c r="E12" s="19">
        <f t="shared" si="30"/>
        <v>69.319999999999979</v>
      </c>
      <c r="F12" s="19">
        <f t="shared" ref="F12:F36" si="31">C9</f>
        <v>243.04000000000008</v>
      </c>
      <c r="G12" s="19">
        <f t="shared" ref="G12:G36" si="32">C8</f>
        <v>100.89999999999999</v>
      </c>
      <c r="H12" s="19">
        <f>C7</f>
        <v>267.16000000000008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24">
        <f t="shared" si="1"/>
        <v>857.91000000000008</v>
      </c>
      <c r="AC12" s="19"/>
      <c r="AD12" s="5">
        <f>AD11+1</f>
        <v>2022</v>
      </c>
      <c r="AE12" s="19">
        <f t="shared" si="3"/>
        <v>10.556999999999999</v>
      </c>
      <c r="AF12" s="19">
        <f t="shared" si="4"/>
        <v>1934.6717288233783</v>
      </c>
      <c r="AG12" s="19">
        <f t="shared" si="5"/>
        <v>2417.4598835418324</v>
      </c>
      <c r="AH12" s="19">
        <f t="shared" si="6"/>
        <v>13192.57186498848</v>
      </c>
      <c r="AI12" s="19">
        <f t="shared" si="7"/>
        <v>7324.1948665174632</v>
      </c>
      <c r="AJ12" s="19">
        <f t="shared" si="8"/>
        <v>24015.467307786206</v>
      </c>
      <c r="AK12" s="19">
        <f t="shared" si="9"/>
        <v>0</v>
      </c>
      <c r="AL12" s="19">
        <f t="shared" si="10"/>
        <v>0</v>
      </c>
      <c r="AM12" s="19">
        <f t="shared" si="11"/>
        <v>0</v>
      </c>
      <c r="AN12" s="19">
        <f t="shared" si="12"/>
        <v>0</v>
      </c>
      <c r="AO12" s="19">
        <f t="shared" si="13"/>
        <v>0</v>
      </c>
      <c r="AP12" s="19">
        <f t="shared" si="14"/>
        <v>0</v>
      </c>
      <c r="AQ12" s="19">
        <f t="shared" si="15"/>
        <v>0</v>
      </c>
      <c r="AR12" s="19">
        <f t="shared" si="16"/>
        <v>0</v>
      </c>
      <c r="AS12" s="19">
        <f t="shared" si="17"/>
        <v>0</v>
      </c>
      <c r="AT12" s="19">
        <f t="shared" si="18"/>
        <v>0</v>
      </c>
      <c r="AU12" s="19">
        <f t="shared" si="19"/>
        <v>0</v>
      </c>
      <c r="AV12" s="19">
        <f t="shared" si="20"/>
        <v>0</v>
      </c>
      <c r="AW12" s="19">
        <f t="shared" si="21"/>
        <v>0</v>
      </c>
      <c r="AX12" s="19">
        <f t="shared" si="22"/>
        <v>0</v>
      </c>
      <c r="AY12" s="19">
        <f t="shared" si="23"/>
        <v>0</v>
      </c>
      <c r="AZ12" s="19">
        <f t="shared" si="24"/>
        <v>0</v>
      </c>
      <c r="BA12" s="19">
        <f t="shared" si="25"/>
        <v>0</v>
      </c>
      <c r="BB12" s="19">
        <f t="shared" si="26"/>
        <v>0</v>
      </c>
      <c r="BC12" s="19">
        <f t="shared" si="27"/>
        <v>0</v>
      </c>
      <c r="BD12" s="24">
        <f t="shared" si="28"/>
        <v>48894.922651657362</v>
      </c>
      <c r="BF12" s="19"/>
    </row>
    <row r="13" spans="1:58">
      <c r="B13" s="5">
        <f t="shared" ref="B13:B35" si="33">B12+1</f>
        <v>2023</v>
      </c>
      <c r="C13" s="32">
        <f>'Project area'!D15</f>
        <v>95.610000000000014</v>
      </c>
      <c r="D13" s="19">
        <f t="shared" si="29"/>
        <v>35.19</v>
      </c>
      <c r="E13" s="19">
        <f t="shared" si="30"/>
        <v>142.29999999999998</v>
      </c>
      <c r="F13" s="19">
        <f t="shared" si="31"/>
        <v>69.319999999999979</v>
      </c>
      <c r="G13" s="19">
        <f t="shared" si="32"/>
        <v>243.04000000000008</v>
      </c>
      <c r="H13" s="19">
        <f t="shared" ref="H13:H36" si="34">C8</f>
        <v>100.89999999999999</v>
      </c>
      <c r="I13" s="19">
        <f>C7</f>
        <v>267.16000000000008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4">
        <f t="shared" si="1"/>
        <v>953.5200000000001</v>
      </c>
      <c r="AC13" s="19"/>
      <c r="AD13" s="5">
        <f t="shared" ref="AD13:AD35" si="35">AD12+1</f>
        <v>2023</v>
      </c>
      <c r="AE13" s="19">
        <f t="shared" si="3"/>
        <v>28.683000000000003</v>
      </c>
      <c r="AF13" s="19">
        <f t="shared" si="4"/>
        <v>478.43357791493105</v>
      </c>
      <c r="AG13" s="19">
        <f t="shared" si="5"/>
        <v>4962.5583010387018</v>
      </c>
      <c r="AH13" s="19">
        <f t="shared" si="6"/>
        <v>3762.7924690627092</v>
      </c>
      <c r="AI13" s="19">
        <f t="shared" si="7"/>
        <v>17641.945692352874</v>
      </c>
      <c r="AJ13" s="19">
        <f t="shared" si="8"/>
        <v>9070.0728078890079</v>
      </c>
      <c r="AK13" s="19">
        <f t="shared" si="9"/>
        <v>28390.760881465947</v>
      </c>
      <c r="AL13" s="19">
        <f t="shared" si="10"/>
        <v>0</v>
      </c>
      <c r="AM13" s="19">
        <f t="shared" si="11"/>
        <v>0</v>
      </c>
      <c r="AN13" s="19">
        <f t="shared" si="12"/>
        <v>0</v>
      </c>
      <c r="AO13" s="19">
        <f t="shared" si="13"/>
        <v>0</v>
      </c>
      <c r="AP13" s="19">
        <f t="shared" si="14"/>
        <v>0</v>
      </c>
      <c r="AQ13" s="19">
        <f t="shared" si="15"/>
        <v>0</v>
      </c>
      <c r="AR13" s="19">
        <f t="shared" si="16"/>
        <v>0</v>
      </c>
      <c r="AS13" s="19">
        <f t="shared" si="17"/>
        <v>0</v>
      </c>
      <c r="AT13" s="19">
        <f t="shared" si="18"/>
        <v>0</v>
      </c>
      <c r="AU13" s="19">
        <f t="shared" si="19"/>
        <v>0</v>
      </c>
      <c r="AV13" s="19">
        <f t="shared" si="20"/>
        <v>0</v>
      </c>
      <c r="AW13" s="19">
        <f t="shared" si="21"/>
        <v>0</v>
      </c>
      <c r="AX13" s="19">
        <f t="shared" si="22"/>
        <v>0</v>
      </c>
      <c r="AY13" s="19">
        <f t="shared" si="23"/>
        <v>0</v>
      </c>
      <c r="AZ13" s="19">
        <f t="shared" si="24"/>
        <v>0</v>
      </c>
      <c r="BA13" s="19">
        <f t="shared" si="25"/>
        <v>0</v>
      </c>
      <c r="BB13" s="19">
        <f t="shared" si="26"/>
        <v>0</v>
      </c>
      <c r="BC13" s="19">
        <f t="shared" si="27"/>
        <v>0</v>
      </c>
      <c r="BD13" s="24">
        <f t="shared" si="28"/>
        <v>64335.246729724175</v>
      </c>
      <c r="BF13" s="19"/>
    </row>
    <row r="14" spans="1:58">
      <c r="B14" s="5">
        <f t="shared" si="33"/>
        <v>2024</v>
      </c>
      <c r="C14" s="32">
        <f>'Project area'!D16</f>
        <v>36.410000000000018</v>
      </c>
      <c r="D14" s="19">
        <f t="shared" si="29"/>
        <v>95.610000000000014</v>
      </c>
      <c r="E14" s="19">
        <f t="shared" si="30"/>
        <v>35.19</v>
      </c>
      <c r="F14" s="19">
        <f t="shared" si="31"/>
        <v>142.29999999999998</v>
      </c>
      <c r="G14" s="19">
        <f t="shared" si="32"/>
        <v>69.319999999999979</v>
      </c>
      <c r="H14" s="19">
        <f t="shared" si="34"/>
        <v>243.04000000000008</v>
      </c>
      <c r="I14" s="19">
        <f>C8</f>
        <v>100.89999999999999</v>
      </c>
      <c r="J14" s="19">
        <f>C7</f>
        <v>267.16000000000008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24">
        <f t="shared" si="1"/>
        <v>989.93000000000018</v>
      </c>
      <c r="AC14" s="19"/>
      <c r="AD14" s="5">
        <f t="shared" si="35"/>
        <v>2024</v>
      </c>
      <c r="AE14" s="19">
        <f t="shared" si="3"/>
        <v>10.923000000000005</v>
      </c>
      <c r="AF14" s="19">
        <f t="shared" si="4"/>
        <v>1299.8873084525878</v>
      </c>
      <c r="AG14" s="19">
        <f t="shared" si="5"/>
        <v>1227.2131174529297</v>
      </c>
      <c r="AH14" s="19">
        <f t="shared" si="6"/>
        <v>7724.2551694694694</v>
      </c>
      <c r="AI14" s="19">
        <f t="shared" si="7"/>
        <v>5031.8452740038692</v>
      </c>
      <c r="AJ14" s="19">
        <f t="shared" si="8"/>
        <v>21847.279437357236</v>
      </c>
      <c r="AK14" s="19">
        <f t="shared" si="9"/>
        <v>10722.517491166016</v>
      </c>
      <c r="AL14" s="19">
        <f t="shared" si="10"/>
        <v>32532.555039514617</v>
      </c>
      <c r="AM14" s="19">
        <f t="shared" si="11"/>
        <v>0</v>
      </c>
      <c r="AN14" s="19">
        <f t="shared" si="12"/>
        <v>0</v>
      </c>
      <c r="AO14" s="19">
        <f t="shared" si="13"/>
        <v>0</v>
      </c>
      <c r="AP14" s="19">
        <f t="shared" si="14"/>
        <v>0</v>
      </c>
      <c r="AQ14" s="19">
        <f t="shared" si="15"/>
        <v>0</v>
      </c>
      <c r="AR14" s="19">
        <f t="shared" si="16"/>
        <v>0</v>
      </c>
      <c r="AS14" s="19">
        <f t="shared" si="17"/>
        <v>0</v>
      </c>
      <c r="AT14" s="19">
        <f t="shared" si="18"/>
        <v>0</v>
      </c>
      <c r="AU14" s="19">
        <f t="shared" si="19"/>
        <v>0</v>
      </c>
      <c r="AV14" s="19">
        <f t="shared" si="20"/>
        <v>0</v>
      </c>
      <c r="AW14" s="19">
        <f t="shared" si="21"/>
        <v>0</v>
      </c>
      <c r="AX14" s="19">
        <f t="shared" si="22"/>
        <v>0</v>
      </c>
      <c r="AY14" s="19">
        <f t="shared" si="23"/>
        <v>0</v>
      </c>
      <c r="AZ14" s="19">
        <f t="shared" si="24"/>
        <v>0</v>
      </c>
      <c r="BA14" s="19">
        <f t="shared" si="25"/>
        <v>0</v>
      </c>
      <c r="BB14" s="19">
        <f t="shared" si="26"/>
        <v>0</v>
      </c>
      <c r="BC14" s="19">
        <f t="shared" si="27"/>
        <v>0</v>
      </c>
      <c r="BD14" s="24">
        <f t="shared" si="28"/>
        <v>80396.475837416729</v>
      </c>
      <c r="BF14" s="19"/>
    </row>
    <row r="15" spans="1:58">
      <c r="B15" s="5">
        <f t="shared" si="33"/>
        <v>2025</v>
      </c>
      <c r="C15" s="32">
        <f>'Project area'!D17</f>
        <v>62.52</v>
      </c>
      <c r="D15" s="19">
        <f t="shared" si="29"/>
        <v>36.410000000000018</v>
      </c>
      <c r="E15" s="19">
        <f t="shared" si="30"/>
        <v>95.610000000000014</v>
      </c>
      <c r="F15" s="19">
        <f t="shared" si="31"/>
        <v>35.19</v>
      </c>
      <c r="G15" s="19">
        <f t="shared" si="32"/>
        <v>142.29999999999998</v>
      </c>
      <c r="H15" s="19">
        <f t="shared" si="34"/>
        <v>69.319999999999979</v>
      </c>
      <c r="I15" s="19">
        <f t="shared" ref="I15:I36" si="36">C9</f>
        <v>243.04000000000008</v>
      </c>
      <c r="J15" s="19">
        <f t="shared" ref="J15:J36" si="37">C8</f>
        <v>100.89999999999999</v>
      </c>
      <c r="K15" s="19">
        <f>C7</f>
        <v>267.16000000000008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4">
        <f t="shared" si="1"/>
        <v>1052.4500000000003</v>
      </c>
      <c r="AC15" s="19"/>
      <c r="AD15" s="5">
        <f t="shared" si="35"/>
        <v>2025</v>
      </c>
      <c r="AE15" s="19">
        <f t="shared" si="3"/>
        <v>18.756</v>
      </c>
      <c r="AF15" s="19">
        <f t="shared" si="4"/>
        <v>495.02036294068341</v>
      </c>
      <c r="AG15" s="19">
        <f t="shared" si="5"/>
        <v>3334.2951452024622</v>
      </c>
      <c r="AH15" s="19">
        <f t="shared" si="6"/>
        <v>1910.1654210374606</v>
      </c>
      <c r="AI15" s="19">
        <f t="shared" si="7"/>
        <v>10329.365009964667</v>
      </c>
      <c r="AJ15" s="19">
        <f t="shared" si="8"/>
        <v>6231.2928349144286</v>
      </c>
      <c r="AK15" s="19">
        <f t="shared" si="9"/>
        <v>25827.558484172343</v>
      </c>
      <c r="AL15" s="19">
        <f t="shared" si="10"/>
        <v>12286.774979364514</v>
      </c>
      <c r="AM15" s="19">
        <f t="shared" si="11"/>
        <v>80.148000000000025</v>
      </c>
      <c r="AN15" s="19">
        <f t="shared" si="12"/>
        <v>0</v>
      </c>
      <c r="AO15" s="19">
        <f t="shared" si="13"/>
        <v>0</v>
      </c>
      <c r="AP15" s="19">
        <f t="shared" si="14"/>
        <v>0</v>
      </c>
      <c r="AQ15" s="19">
        <f t="shared" si="15"/>
        <v>0</v>
      </c>
      <c r="AR15" s="19">
        <f t="shared" si="16"/>
        <v>0</v>
      </c>
      <c r="AS15" s="19">
        <f t="shared" si="17"/>
        <v>0</v>
      </c>
      <c r="AT15" s="19">
        <f t="shared" si="18"/>
        <v>0</v>
      </c>
      <c r="AU15" s="19">
        <f t="shared" si="19"/>
        <v>0</v>
      </c>
      <c r="AV15" s="19">
        <f t="shared" si="20"/>
        <v>0</v>
      </c>
      <c r="AW15" s="19">
        <f t="shared" si="21"/>
        <v>0</v>
      </c>
      <c r="AX15" s="19">
        <f t="shared" si="22"/>
        <v>0</v>
      </c>
      <c r="AY15" s="19">
        <f t="shared" si="23"/>
        <v>0</v>
      </c>
      <c r="AZ15" s="19">
        <f t="shared" si="24"/>
        <v>0</v>
      </c>
      <c r="BA15" s="19">
        <f t="shared" si="25"/>
        <v>0</v>
      </c>
      <c r="BB15" s="19">
        <f t="shared" si="26"/>
        <v>0</v>
      </c>
      <c r="BC15" s="19">
        <f t="shared" si="27"/>
        <v>0</v>
      </c>
      <c r="BD15" s="24">
        <f t="shared" si="28"/>
        <v>60513.37623759656</v>
      </c>
      <c r="BF15" s="19"/>
    </row>
    <row r="16" spans="1:58">
      <c r="B16" s="5">
        <f t="shared" si="33"/>
        <v>2026</v>
      </c>
      <c r="C16" s="80">
        <f>'Project area'!D18</f>
        <v>300</v>
      </c>
      <c r="D16" s="19">
        <f t="shared" si="29"/>
        <v>62.52</v>
      </c>
      <c r="E16" s="19">
        <f t="shared" si="30"/>
        <v>36.410000000000018</v>
      </c>
      <c r="F16" s="19">
        <f t="shared" si="31"/>
        <v>95.610000000000014</v>
      </c>
      <c r="G16" s="19">
        <f t="shared" si="32"/>
        <v>35.19</v>
      </c>
      <c r="H16" s="19">
        <f t="shared" si="34"/>
        <v>142.29999999999998</v>
      </c>
      <c r="I16" s="19">
        <f t="shared" si="36"/>
        <v>69.319999999999979</v>
      </c>
      <c r="J16" s="19">
        <f t="shared" si="37"/>
        <v>243.04000000000008</v>
      </c>
      <c r="K16" s="19">
        <f t="shared" ref="K16:K36" si="38">C8</f>
        <v>100.89999999999999</v>
      </c>
      <c r="L16" s="19">
        <f>C7</f>
        <v>267.16000000000008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 t="shared" si="1"/>
        <v>1352.45</v>
      </c>
      <c r="AC16" s="19"/>
      <c r="AD16" s="5">
        <f t="shared" si="35"/>
        <v>2026</v>
      </c>
      <c r="AE16" s="19">
        <f t="shared" si="3"/>
        <v>90</v>
      </c>
      <c r="AF16" s="19">
        <f t="shared" si="4"/>
        <v>850.0047539426397</v>
      </c>
      <c r="AG16" s="19">
        <f t="shared" si="5"/>
        <v>1269.7592954379427</v>
      </c>
      <c r="AH16" s="19">
        <f t="shared" si="6"/>
        <v>5189.8526827334936</v>
      </c>
      <c r="AI16" s="19">
        <f t="shared" si="7"/>
        <v>2554.3946219301242</v>
      </c>
      <c r="AJ16" s="19">
        <f t="shared" si="8"/>
        <v>12791.589301908876</v>
      </c>
      <c r="AK16" s="19">
        <f t="shared" si="9"/>
        <v>7366.5501733164328</v>
      </c>
      <c r="AL16" s="19">
        <f t="shared" si="10"/>
        <v>29595.419137609046</v>
      </c>
      <c r="AM16" s="19">
        <f t="shared" si="11"/>
        <v>30.269999999999996</v>
      </c>
      <c r="AN16" s="19">
        <f t="shared" si="12"/>
        <v>3632.2340061310888</v>
      </c>
      <c r="AO16" s="19">
        <f t="shared" si="13"/>
        <v>0</v>
      </c>
      <c r="AP16" s="19">
        <f t="shared" si="14"/>
        <v>0</v>
      </c>
      <c r="AQ16" s="19">
        <f t="shared" si="15"/>
        <v>0</v>
      </c>
      <c r="AR16" s="19">
        <f t="shared" si="16"/>
        <v>0</v>
      </c>
      <c r="AS16" s="19">
        <f t="shared" si="17"/>
        <v>0</v>
      </c>
      <c r="AT16" s="19">
        <f t="shared" si="18"/>
        <v>0</v>
      </c>
      <c r="AU16" s="19">
        <f t="shared" si="19"/>
        <v>0</v>
      </c>
      <c r="AV16" s="19">
        <f t="shared" si="20"/>
        <v>0</v>
      </c>
      <c r="AW16" s="19">
        <f t="shared" si="21"/>
        <v>0</v>
      </c>
      <c r="AX16" s="19">
        <f t="shared" si="22"/>
        <v>0</v>
      </c>
      <c r="AY16" s="19">
        <f t="shared" si="23"/>
        <v>0</v>
      </c>
      <c r="AZ16" s="19">
        <f t="shared" si="24"/>
        <v>0</v>
      </c>
      <c r="BA16" s="19">
        <f t="shared" si="25"/>
        <v>0</v>
      </c>
      <c r="BB16" s="19">
        <f t="shared" si="26"/>
        <v>0</v>
      </c>
      <c r="BC16" s="19">
        <f t="shared" si="27"/>
        <v>0</v>
      </c>
      <c r="BD16" s="24">
        <f t="shared" si="28"/>
        <v>63370.073973009639</v>
      </c>
      <c r="BF16" s="19"/>
    </row>
    <row r="17" spans="2:58">
      <c r="B17" s="5">
        <f t="shared" si="33"/>
        <v>2027</v>
      </c>
      <c r="C17" s="80">
        <f>'Project area'!D19</f>
        <v>300</v>
      </c>
      <c r="D17" s="19">
        <f t="shared" si="29"/>
        <v>300</v>
      </c>
      <c r="E17" s="19">
        <f t="shared" si="30"/>
        <v>62.52</v>
      </c>
      <c r="F17" s="19">
        <f t="shared" si="31"/>
        <v>36.410000000000018</v>
      </c>
      <c r="G17" s="19">
        <f t="shared" si="32"/>
        <v>95.610000000000014</v>
      </c>
      <c r="H17" s="19">
        <f t="shared" si="34"/>
        <v>35.19</v>
      </c>
      <c r="I17" s="19">
        <f t="shared" si="36"/>
        <v>142.29999999999998</v>
      </c>
      <c r="J17" s="19">
        <f t="shared" si="37"/>
        <v>69.319999999999979</v>
      </c>
      <c r="K17" s="19">
        <f t="shared" si="38"/>
        <v>243.04000000000008</v>
      </c>
      <c r="L17" s="19">
        <f>C8</f>
        <v>100.89999999999999</v>
      </c>
      <c r="M17" s="19">
        <f>C7</f>
        <v>267.16000000000008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4">
        <f t="shared" si="1"/>
        <v>1652.45</v>
      </c>
      <c r="AD17" s="5">
        <f t="shared" si="35"/>
        <v>2027</v>
      </c>
      <c r="AE17" s="19">
        <f t="shared" si="3"/>
        <v>90</v>
      </c>
      <c r="AF17" s="19">
        <f t="shared" si="4"/>
        <v>4078.7176292832996</v>
      </c>
      <c r="AG17" s="19">
        <f t="shared" si="5"/>
        <v>2180.3172521499628</v>
      </c>
      <c r="AH17" s="19">
        <f t="shared" si="6"/>
        <v>1976.3888314854782</v>
      </c>
      <c r="AI17" s="19">
        <f t="shared" si="7"/>
        <v>6940.2009037436555</v>
      </c>
      <c r="AJ17" s="19">
        <f t="shared" si="8"/>
        <v>3163.2890199168896</v>
      </c>
      <c r="AK17" s="19">
        <f t="shared" si="9"/>
        <v>15122.043993983389</v>
      </c>
      <c r="AL17" s="19">
        <f t="shared" si="10"/>
        <v>8441.2214228894736</v>
      </c>
      <c r="AM17" s="19">
        <f t="shared" si="11"/>
        <v>72.91200000000002</v>
      </c>
      <c r="AN17" s="19">
        <f t="shared" si="12"/>
        <v>1371.8086959822831</v>
      </c>
      <c r="AO17" s="19">
        <f t="shared" si="13"/>
        <v>9316.9155003900214</v>
      </c>
      <c r="AP17" s="19">
        <f t="shared" si="14"/>
        <v>0</v>
      </c>
      <c r="AQ17" s="19">
        <f t="shared" si="15"/>
        <v>0</v>
      </c>
      <c r="AR17" s="19">
        <f t="shared" si="16"/>
        <v>0</v>
      </c>
      <c r="AS17" s="19">
        <f t="shared" si="17"/>
        <v>0</v>
      </c>
      <c r="AT17" s="19">
        <f t="shared" si="18"/>
        <v>0</v>
      </c>
      <c r="AU17" s="19">
        <f t="shared" si="19"/>
        <v>0</v>
      </c>
      <c r="AV17" s="19">
        <f t="shared" si="20"/>
        <v>0</v>
      </c>
      <c r="AW17" s="19">
        <f t="shared" si="21"/>
        <v>0</v>
      </c>
      <c r="AX17" s="19">
        <f t="shared" si="22"/>
        <v>0</v>
      </c>
      <c r="AY17" s="19">
        <f t="shared" si="23"/>
        <v>0</v>
      </c>
      <c r="AZ17" s="19">
        <f t="shared" si="24"/>
        <v>0</v>
      </c>
      <c r="BA17" s="19">
        <f t="shared" si="25"/>
        <v>0</v>
      </c>
      <c r="BB17" s="19">
        <f t="shared" si="26"/>
        <v>0</v>
      </c>
      <c r="BC17" s="19">
        <f t="shared" si="27"/>
        <v>0</v>
      </c>
      <c r="BD17" s="24">
        <f t="shared" si="28"/>
        <v>52753.815249824453</v>
      </c>
      <c r="BF17" s="19"/>
    </row>
    <row r="18" spans="2:58">
      <c r="B18" s="5">
        <f t="shared" si="33"/>
        <v>2028</v>
      </c>
      <c r="C18" s="80">
        <f>'Project area'!D20</f>
        <v>300</v>
      </c>
      <c r="D18" s="19">
        <f t="shared" si="29"/>
        <v>300</v>
      </c>
      <c r="E18" s="19">
        <f t="shared" si="30"/>
        <v>300</v>
      </c>
      <c r="F18" s="19">
        <f t="shared" si="31"/>
        <v>62.52</v>
      </c>
      <c r="G18" s="19">
        <f t="shared" si="32"/>
        <v>36.410000000000018</v>
      </c>
      <c r="H18" s="19">
        <f t="shared" si="34"/>
        <v>95.610000000000014</v>
      </c>
      <c r="I18" s="19">
        <f t="shared" si="36"/>
        <v>35.19</v>
      </c>
      <c r="J18" s="19">
        <f t="shared" si="37"/>
        <v>142.29999999999998</v>
      </c>
      <c r="K18" s="19">
        <f t="shared" si="38"/>
        <v>69.319999999999979</v>
      </c>
      <c r="L18" s="19">
        <f t="shared" ref="L18:L36" si="39">C9</f>
        <v>243.04000000000008</v>
      </c>
      <c r="M18" s="19">
        <f t="shared" ref="M18:M36" si="40">C8</f>
        <v>100.89999999999999</v>
      </c>
      <c r="N18" s="19">
        <f>C7</f>
        <v>267.16000000000008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24">
        <f t="shared" si="1"/>
        <v>1952.45</v>
      </c>
      <c r="AD18" s="5">
        <f t="shared" si="35"/>
        <v>2028</v>
      </c>
      <c r="AE18" s="19">
        <f t="shared" si="3"/>
        <v>90</v>
      </c>
      <c r="AF18" s="19">
        <f t="shared" si="4"/>
        <v>4078.7176292832996</v>
      </c>
      <c r="AG18" s="19">
        <f t="shared" si="5"/>
        <v>10462.174914347228</v>
      </c>
      <c r="AH18" s="19">
        <f t="shared" si="6"/>
        <v>3393.6783780409787</v>
      </c>
      <c r="AI18" s="19">
        <f t="shared" si="7"/>
        <v>2642.9527759157681</v>
      </c>
      <c r="AJ18" s="19">
        <f t="shared" si="8"/>
        <v>8594.5457003198026</v>
      </c>
      <c r="AK18" s="19">
        <f t="shared" si="9"/>
        <v>3739.5975273947683</v>
      </c>
      <c r="AL18" s="19">
        <f t="shared" si="10"/>
        <v>17328.127646814373</v>
      </c>
      <c r="AM18" s="19">
        <f t="shared" si="11"/>
        <v>20.795999999999992</v>
      </c>
      <c r="AN18" s="19">
        <f t="shared" si="12"/>
        <v>3304.3051087367116</v>
      </c>
      <c r="AO18" s="19">
        <f t="shared" si="13"/>
        <v>3518.7781628587841</v>
      </c>
      <c r="AP18" s="19">
        <f t="shared" si="14"/>
        <v>14501.84125843615</v>
      </c>
      <c r="AQ18" s="19">
        <f t="shared" si="15"/>
        <v>0</v>
      </c>
      <c r="AR18" s="19">
        <f t="shared" si="16"/>
        <v>0</v>
      </c>
      <c r="AS18" s="19">
        <f t="shared" si="17"/>
        <v>0</v>
      </c>
      <c r="AT18" s="19">
        <f t="shared" si="18"/>
        <v>0</v>
      </c>
      <c r="AU18" s="19">
        <f t="shared" si="19"/>
        <v>0</v>
      </c>
      <c r="AV18" s="19">
        <f t="shared" si="20"/>
        <v>0</v>
      </c>
      <c r="AW18" s="19">
        <f t="shared" si="21"/>
        <v>0</v>
      </c>
      <c r="AX18" s="19">
        <f t="shared" si="22"/>
        <v>0</v>
      </c>
      <c r="AY18" s="19">
        <f t="shared" si="23"/>
        <v>0</v>
      </c>
      <c r="AZ18" s="19">
        <f t="shared" si="24"/>
        <v>0</v>
      </c>
      <c r="BA18" s="19">
        <f t="shared" si="25"/>
        <v>0</v>
      </c>
      <c r="BB18" s="19">
        <f t="shared" si="26"/>
        <v>0</v>
      </c>
      <c r="BC18" s="19">
        <f t="shared" si="27"/>
        <v>0</v>
      </c>
      <c r="BD18" s="24">
        <f t="shared" si="28"/>
        <v>71675.515102147852</v>
      </c>
      <c r="BF18" s="19"/>
    </row>
    <row r="19" spans="2:58">
      <c r="B19" s="5">
        <f t="shared" si="33"/>
        <v>2029</v>
      </c>
      <c r="C19" s="80">
        <f>'Project area'!D21</f>
        <v>300</v>
      </c>
      <c r="D19" s="19">
        <f t="shared" si="29"/>
        <v>300</v>
      </c>
      <c r="E19" s="19">
        <f t="shared" si="30"/>
        <v>300</v>
      </c>
      <c r="F19" s="19">
        <f t="shared" si="31"/>
        <v>300</v>
      </c>
      <c r="G19" s="19">
        <f t="shared" si="32"/>
        <v>62.52</v>
      </c>
      <c r="H19" s="19">
        <f t="shared" si="34"/>
        <v>36.410000000000018</v>
      </c>
      <c r="I19" s="19">
        <f t="shared" si="36"/>
        <v>95.610000000000014</v>
      </c>
      <c r="J19" s="19">
        <f t="shared" si="37"/>
        <v>35.19</v>
      </c>
      <c r="K19" s="19">
        <f t="shared" si="38"/>
        <v>142.29999999999998</v>
      </c>
      <c r="L19" s="19">
        <f t="shared" si="39"/>
        <v>69.319999999999979</v>
      </c>
      <c r="M19" s="19">
        <f t="shared" si="40"/>
        <v>243.04000000000008</v>
      </c>
      <c r="N19" s="19">
        <f t="shared" ref="N19:N36" si="41">C8</f>
        <v>100.89999999999999</v>
      </c>
      <c r="O19" s="19">
        <f>C7</f>
        <v>267.16000000000008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4">
        <f t="shared" si="1"/>
        <v>2252.4499999999998</v>
      </c>
      <c r="AD19" s="5">
        <f t="shared" si="35"/>
        <v>2029</v>
      </c>
      <c r="AE19" s="19">
        <f t="shared" si="3"/>
        <v>90</v>
      </c>
      <c r="AF19" s="19">
        <f t="shared" si="4"/>
        <v>4078.7176292832996</v>
      </c>
      <c r="AG19" s="19">
        <f t="shared" si="5"/>
        <v>10462.174914347228</v>
      </c>
      <c r="AH19" s="19">
        <f t="shared" si="6"/>
        <v>16284.445192135214</v>
      </c>
      <c r="AI19" s="19">
        <f t="shared" si="7"/>
        <v>4538.2424485101274</v>
      </c>
      <c r="AJ19" s="19">
        <f t="shared" si="8"/>
        <v>3272.9568972768975</v>
      </c>
      <c r="AK19" s="19">
        <f t="shared" si="9"/>
        <v>10160.355771361576</v>
      </c>
      <c r="AL19" s="19">
        <f t="shared" si="10"/>
        <v>4285.1497673323811</v>
      </c>
      <c r="AM19" s="19">
        <f t="shared" si="11"/>
        <v>42.689999999999991</v>
      </c>
      <c r="AN19" s="19">
        <f t="shared" si="12"/>
        <v>942.45568687306081</v>
      </c>
      <c r="AO19" s="19">
        <f t="shared" si="13"/>
        <v>8475.756637276505</v>
      </c>
      <c r="AP19" s="19">
        <f t="shared" si="14"/>
        <v>5477.00173295481</v>
      </c>
      <c r="AQ19" s="19">
        <f t="shared" si="15"/>
        <v>19392.783949839508</v>
      </c>
      <c r="AR19" s="19">
        <f t="shared" si="16"/>
        <v>0</v>
      </c>
      <c r="AS19" s="19">
        <f t="shared" si="17"/>
        <v>0</v>
      </c>
      <c r="AT19" s="19">
        <f t="shared" si="18"/>
        <v>0</v>
      </c>
      <c r="AU19" s="19">
        <f t="shared" si="19"/>
        <v>0</v>
      </c>
      <c r="AV19" s="19">
        <f t="shared" si="20"/>
        <v>0</v>
      </c>
      <c r="AW19" s="19">
        <f t="shared" si="21"/>
        <v>0</v>
      </c>
      <c r="AX19" s="19">
        <f t="shared" si="22"/>
        <v>0</v>
      </c>
      <c r="AY19" s="19">
        <f t="shared" si="23"/>
        <v>0</v>
      </c>
      <c r="AZ19" s="19">
        <f t="shared" si="24"/>
        <v>0</v>
      </c>
      <c r="BA19" s="19">
        <f t="shared" si="25"/>
        <v>0</v>
      </c>
      <c r="BB19" s="19">
        <f t="shared" si="26"/>
        <v>0</v>
      </c>
      <c r="BC19" s="19">
        <f t="shared" si="27"/>
        <v>0</v>
      </c>
      <c r="BD19" s="24">
        <f t="shared" si="28"/>
        <v>87502.730627190598</v>
      </c>
      <c r="BF19" s="19"/>
    </row>
    <row r="20" spans="2:58">
      <c r="B20" s="5">
        <f t="shared" si="33"/>
        <v>2030</v>
      </c>
      <c r="C20" s="80">
        <f>'Project area'!D22</f>
        <v>300</v>
      </c>
      <c r="D20" s="19">
        <f t="shared" si="29"/>
        <v>300</v>
      </c>
      <c r="E20" s="19">
        <f t="shared" si="30"/>
        <v>300</v>
      </c>
      <c r="F20" s="19">
        <f t="shared" si="31"/>
        <v>300</v>
      </c>
      <c r="G20" s="19">
        <f t="shared" si="32"/>
        <v>300</v>
      </c>
      <c r="H20" s="19">
        <f t="shared" si="34"/>
        <v>62.52</v>
      </c>
      <c r="I20" s="19">
        <f t="shared" si="36"/>
        <v>36.410000000000018</v>
      </c>
      <c r="J20" s="19">
        <f t="shared" si="37"/>
        <v>95.610000000000014</v>
      </c>
      <c r="K20" s="19">
        <f t="shared" si="38"/>
        <v>35.19</v>
      </c>
      <c r="L20" s="19">
        <f t="shared" si="39"/>
        <v>142.29999999999998</v>
      </c>
      <c r="M20" s="19">
        <f t="shared" si="40"/>
        <v>69.319999999999979</v>
      </c>
      <c r="N20" s="19">
        <f t="shared" si="41"/>
        <v>243.04000000000008</v>
      </c>
      <c r="O20" s="19">
        <f t="shared" ref="O20:O36" si="42">C8</f>
        <v>100.89999999999999</v>
      </c>
      <c r="P20" s="19">
        <f>C7</f>
        <v>267.16000000000008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4">
        <f t="shared" si="1"/>
        <v>2552.4499999999998</v>
      </c>
      <c r="AD20" s="5">
        <f t="shared" si="35"/>
        <v>2030</v>
      </c>
      <c r="AE20" s="19">
        <f t="shared" si="3"/>
        <v>90</v>
      </c>
      <c r="AF20" s="19">
        <f t="shared" si="4"/>
        <v>4078.7176292832996</v>
      </c>
      <c r="AG20" s="19">
        <f t="shared" si="5"/>
        <v>10462.174914347228</v>
      </c>
      <c r="AH20" s="19">
        <f t="shared" si="6"/>
        <v>16284.445192135214</v>
      </c>
      <c r="AI20" s="19">
        <f t="shared" si="7"/>
        <v>21776.595242371051</v>
      </c>
      <c r="AJ20" s="19">
        <f t="shared" si="8"/>
        <v>5620.029256186529</v>
      </c>
      <c r="AK20" s="19">
        <f t="shared" si="9"/>
        <v>3869.2454098449443</v>
      </c>
      <c r="AL20" s="19">
        <f t="shared" si="10"/>
        <v>11642.6021385237</v>
      </c>
      <c r="AM20" s="19">
        <f t="shared" si="11"/>
        <v>10.556999999999999</v>
      </c>
      <c r="AN20" s="19">
        <f t="shared" si="12"/>
        <v>1934.6717288233783</v>
      </c>
      <c r="AO20" s="19">
        <f t="shared" si="13"/>
        <v>2417.4598835418324</v>
      </c>
      <c r="AP20" s="19">
        <f t="shared" si="14"/>
        <v>13192.57186498848</v>
      </c>
      <c r="AQ20" s="19">
        <f t="shared" si="15"/>
        <v>7324.1948665174632</v>
      </c>
      <c r="AR20" s="19">
        <f t="shared" si="16"/>
        <v>24015.467307786206</v>
      </c>
      <c r="AS20" s="19">
        <f t="shared" si="17"/>
        <v>0</v>
      </c>
      <c r="AT20" s="19">
        <f t="shared" si="18"/>
        <v>0</v>
      </c>
      <c r="AU20" s="19">
        <f t="shared" si="19"/>
        <v>0</v>
      </c>
      <c r="AV20" s="19">
        <f t="shared" si="20"/>
        <v>0</v>
      </c>
      <c r="AW20" s="19">
        <f t="shared" si="21"/>
        <v>0</v>
      </c>
      <c r="AX20" s="19">
        <f t="shared" si="22"/>
        <v>0</v>
      </c>
      <c r="AY20" s="19">
        <f t="shared" si="23"/>
        <v>0</v>
      </c>
      <c r="AZ20" s="19">
        <f t="shared" si="24"/>
        <v>0</v>
      </c>
      <c r="BA20" s="19">
        <f t="shared" si="25"/>
        <v>0</v>
      </c>
      <c r="BB20" s="19">
        <f t="shared" si="26"/>
        <v>0</v>
      </c>
      <c r="BC20" s="19">
        <f t="shared" si="27"/>
        <v>0</v>
      </c>
      <c r="BD20" s="24">
        <f t="shared" si="28"/>
        <v>122718.73243434932</v>
      </c>
      <c r="BF20" s="19"/>
    </row>
    <row r="21" spans="2:58">
      <c r="B21" s="5">
        <f t="shared" si="33"/>
        <v>2031</v>
      </c>
      <c r="C21" s="80">
        <f>'Project area'!D23</f>
        <v>300</v>
      </c>
      <c r="D21" s="19">
        <f t="shared" si="29"/>
        <v>300</v>
      </c>
      <c r="E21" s="19">
        <f t="shared" si="30"/>
        <v>300</v>
      </c>
      <c r="F21" s="19">
        <f t="shared" si="31"/>
        <v>300</v>
      </c>
      <c r="G21" s="19">
        <f t="shared" si="32"/>
        <v>300</v>
      </c>
      <c r="H21" s="19">
        <f t="shared" si="34"/>
        <v>300</v>
      </c>
      <c r="I21" s="19">
        <f t="shared" si="36"/>
        <v>62.52</v>
      </c>
      <c r="J21" s="19">
        <f t="shared" si="37"/>
        <v>36.410000000000018</v>
      </c>
      <c r="K21" s="19">
        <f t="shared" si="38"/>
        <v>95.610000000000014</v>
      </c>
      <c r="L21" s="19">
        <f t="shared" si="39"/>
        <v>35.19</v>
      </c>
      <c r="M21" s="19">
        <f t="shared" si="40"/>
        <v>142.29999999999998</v>
      </c>
      <c r="N21" s="19">
        <f t="shared" si="41"/>
        <v>69.319999999999979</v>
      </c>
      <c r="O21" s="19">
        <f t="shared" si="42"/>
        <v>243.04000000000008</v>
      </c>
      <c r="P21" s="19">
        <f t="shared" ref="P21:P36" si="43">C8</f>
        <v>100.89999999999999</v>
      </c>
      <c r="Q21" s="19">
        <f>C7</f>
        <v>267.16000000000008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4">
        <f t="shared" si="1"/>
        <v>2852.4500000000007</v>
      </c>
      <c r="AD21" s="5">
        <f t="shared" si="35"/>
        <v>2031</v>
      </c>
      <c r="AE21" s="19">
        <f t="shared" si="3"/>
        <v>90</v>
      </c>
      <c r="AF21" s="19">
        <f t="shared" si="4"/>
        <v>4078.7176292832996</v>
      </c>
      <c r="AG21" s="19">
        <f t="shared" si="5"/>
        <v>10462.174914347228</v>
      </c>
      <c r="AH21" s="19">
        <f t="shared" si="6"/>
        <v>16284.445192135214</v>
      </c>
      <c r="AI21" s="19">
        <f t="shared" si="7"/>
        <v>21776.595242371051</v>
      </c>
      <c r="AJ21" s="19">
        <f t="shared" si="8"/>
        <v>26967.510826230944</v>
      </c>
      <c r="AK21" s="19">
        <f t="shared" si="9"/>
        <v>6643.922631790876</v>
      </c>
      <c r="AL21" s="19">
        <f t="shared" si="10"/>
        <v>4433.7113676775243</v>
      </c>
      <c r="AM21" s="19">
        <f t="shared" si="11"/>
        <v>28.683000000000003</v>
      </c>
      <c r="AN21" s="19">
        <f t="shared" si="12"/>
        <v>478.43357791493105</v>
      </c>
      <c r="AO21" s="19">
        <f t="shared" si="13"/>
        <v>4962.5583010387018</v>
      </c>
      <c r="AP21" s="19">
        <f t="shared" si="14"/>
        <v>3762.7924690627092</v>
      </c>
      <c r="AQ21" s="19">
        <f t="shared" si="15"/>
        <v>17641.945692352874</v>
      </c>
      <c r="AR21" s="19">
        <f t="shared" si="16"/>
        <v>9070.0728078890079</v>
      </c>
      <c r="AS21" s="19">
        <f t="shared" si="17"/>
        <v>28390.760881465947</v>
      </c>
      <c r="AT21" s="19">
        <f t="shared" si="18"/>
        <v>0</v>
      </c>
      <c r="AU21" s="19">
        <f t="shared" si="19"/>
        <v>0</v>
      </c>
      <c r="AV21" s="19">
        <f t="shared" si="20"/>
        <v>0</v>
      </c>
      <c r="AW21" s="19">
        <f t="shared" si="21"/>
        <v>0</v>
      </c>
      <c r="AX21" s="19">
        <f t="shared" si="22"/>
        <v>0</v>
      </c>
      <c r="AY21" s="19">
        <f t="shared" si="23"/>
        <v>0</v>
      </c>
      <c r="AZ21" s="19">
        <f t="shared" si="24"/>
        <v>0</v>
      </c>
      <c r="BA21" s="19">
        <f t="shared" si="25"/>
        <v>0</v>
      </c>
      <c r="BB21" s="19">
        <f t="shared" si="26"/>
        <v>0</v>
      </c>
      <c r="BC21" s="19">
        <f t="shared" si="27"/>
        <v>0</v>
      </c>
      <c r="BD21" s="24">
        <f t="shared" si="28"/>
        <v>155072.32453356031</v>
      </c>
      <c r="BF21" s="19"/>
    </row>
    <row r="22" spans="2:58">
      <c r="B22" s="5">
        <f t="shared" si="33"/>
        <v>2032</v>
      </c>
      <c r="C22" s="80">
        <f>'Project area'!D24</f>
        <v>300</v>
      </c>
      <c r="D22" s="19">
        <f t="shared" si="29"/>
        <v>300</v>
      </c>
      <c r="E22" s="19">
        <f t="shared" si="30"/>
        <v>300</v>
      </c>
      <c r="F22" s="19">
        <f t="shared" si="31"/>
        <v>300</v>
      </c>
      <c r="G22" s="19">
        <f t="shared" si="32"/>
        <v>300</v>
      </c>
      <c r="H22" s="19">
        <f t="shared" si="34"/>
        <v>300</v>
      </c>
      <c r="I22" s="19">
        <f t="shared" si="36"/>
        <v>300</v>
      </c>
      <c r="J22" s="19">
        <f t="shared" si="37"/>
        <v>62.52</v>
      </c>
      <c r="K22" s="19">
        <f t="shared" si="38"/>
        <v>36.410000000000018</v>
      </c>
      <c r="L22" s="19">
        <f t="shared" si="39"/>
        <v>95.610000000000014</v>
      </c>
      <c r="M22" s="19">
        <f t="shared" si="40"/>
        <v>35.19</v>
      </c>
      <c r="N22" s="19">
        <f t="shared" si="41"/>
        <v>142.29999999999998</v>
      </c>
      <c r="O22" s="19">
        <f t="shared" si="42"/>
        <v>69.319999999999979</v>
      </c>
      <c r="P22" s="19">
        <f t="shared" si="43"/>
        <v>243.04000000000008</v>
      </c>
      <c r="Q22" s="19">
        <f t="shared" ref="Q22:Q36" si="44">C8</f>
        <v>100.89999999999999</v>
      </c>
      <c r="R22" s="19">
        <f>C7</f>
        <v>267.16000000000008</v>
      </c>
      <c r="S22" s="19"/>
      <c r="T22" s="19"/>
      <c r="U22" s="19"/>
      <c r="V22" s="19"/>
      <c r="W22" s="19"/>
      <c r="X22" s="19"/>
      <c r="Y22" s="19"/>
      <c r="Z22" s="19"/>
      <c r="AA22" s="19"/>
      <c r="AB22" s="24">
        <f t="shared" si="1"/>
        <v>3152.4500000000007</v>
      </c>
      <c r="AD22" s="5">
        <f t="shared" si="35"/>
        <v>2032</v>
      </c>
      <c r="AE22" s="19">
        <f t="shared" si="3"/>
        <v>90</v>
      </c>
      <c r="AF22" s="19">
        <f t="shared" si="4"/>
        <v>4078.7176292832996</v>
      </c>
      <c r="AG22" s="19">
        <f t="shared" si="5"/>
        <v>10462.174914347228</v>
      </c>
      <c r="AH22" s="19">
        <f t="shared" si="6"/>
        <v>16284.445192135214</v>
      </c>
      <c r="AI22" s="19">
        <f t="shared" si="7"/>
        <v>21776.595242371051</v>
      </c>
      <c r="AJ22" s="19">
        <f t="shared" si="8"/>
        <v>26967.510826230944</v>
      </c>
      <c r="AK22" s="19">
        <f t="shared" si="9"/>
        <v>31880.626832009959</v>
      </c>
      <c r="AL22" s="19">
        <f t="shared" si="10"/>
        <v>7613.1731586706592</v>
      </c>
      <c r="AM22" s="19">
        <f t="shared" si="11"/>
        <v>10.923000000000005</v>
      </c>
      <c r="AN22" s="19">
        <f t="shared" si="12"/>
        <v>1299.8873084525878</v>
      </c>
      <c r="AO22" s="19">
        <f t="shared" si="13"/>
        <v>1227.2131174529297</v>
      </c>
      <c r="AP22" s="19">
        <f t="shared" si="14"/>
        <v>7724.2551694694694</v>
      </c>
      <c r="AQ22" s="19">
        <f t="shared" si="15"/>
        <v>5031.8452740038692</v>
      </c>
      <c r="AR22" s="19">
        <f t="shared" si="16"/>
        <v>21847.279437357236</v>
      </c>
      <c r="AS22" s="19">
        <f t="shared" si="17"/>
        <v>10722.517491166016</v>
      </c>
      <c r="AT22" s="19">
        <f t="shared" si="18"/>
        <v>32532.555039514617</v>
      </c>
      <c r="AU22" s="19">
        <f t="shared" si="19"/>
        <v>0</v>
      </c>
      <c r="AV22" s="19">
        <f t="shared" si="20"/>
        <v>0</v>
      </c>
      <c r="AW22" s="19">
        <f t="shared" si="21"/>
        <v>0</v>
      </c>
      <c r="AX22" s="19">
        <f t="shared" si="22"/>
        <v>0</v>
      </c>
      <c r="AY22" s="19">
        <f t="shared" si="23"/>
        <v>0</v>
      </c>
      <c r="AZ22" s="19">
        <f t="shared" si="24"/>
        <v>0</v>
      </c>
      <c r="BA22" s="19">
        <f t="shared" si="25"/>
        <v>0</v>
      </c>
      <c r="BB22" s="19">
        <f t="shared" si="26"/>
        <v>0</v>
      </c>
      <c r="BC22" s="19">
        <f t="shared" si="27"/>
        <v>0</v>
      </c>
      <c r="BD22" s="24">
        <f t="shared" si="28"/>
        <v>199549.71963246507</v>
      </c>
      <c r="BF22" s="19"/>
    </row>
    <row r="23" spans="2:58">
      <c r="B23" s="5">
        <f t="shared" si="33"/>
        <v>2033</v>
      </c>
      <c r="C23" s="80">
        <f>'Project area'!D25</f>
        <v>300</v>
      </c>
      <c r="D23" s="19">
        <f t="shared" si="29"/>
        <v>300</v>
      </c>
      <c r="E23" s="19">
        <f t="shared" si="30"/>
        <v>300</v>
      </c>
      <c r="F23" s="19">
        <f t="shared" si="31"/>
        <v>300</v>
      </c>
      <c r="G23" s="19">
        <f t="shared" si="32"/>
        <v>300</v>
      </c>
      <c r="H23" s="19">
        <f t="shared" si="34"/>
        <v>300</v>
      </c>
      <c r="I23" s="19">
        <f t="shared" si="36"/>
        <v>300</v>
      </c>
      <c r="J23" s="19">
        <f t="shared" si="37"/>
        <v>300</v>
      </c>
      <c r="K23" s="19">
        <f t="shared" si="38"/>
        <v>62.52</v>
      </c>
      <c r="L23" s="19">
        <f t="shared" si="39"/>
        <v>36.410000000000018</v>
      </c>
      <c r="M23" s="19">
        <f t="shared" si="40"/>
        <v>95.610000000000014</v>
      </c>
      <c r="N23" s="19">
        <f t="shared" si="41"/>
        <v>35.19</v>
      </c>
      <c r="O23" s="19">
        <f t="shared" si="42"/>
        <v>142.29999999999998</v>
      </c>
      <c r="P23" s="19">
        <f t="shared" si="43"/>
        <v>69.319999999999979</v>
      </c>
      <c r="Q23" s="19">
        <f t="shared" si="44"/>
        <v>243.04000000000008</v>
      </c>
      <c r="R23" s="19">
        <f t="shared" ref="R23:R36" si="45">C8</f>
        <v>100.89999999999999</v>
      </c>
      <c r="S23" s="19">
        <f>C7</f>
        <v>267.16000000000008</v>
      </c>
      <c r="T23" s="19"/>
      <c r="U23" s="19"/>
      <c r="V23" s="19"/>
      <c r="W23" s="19"/>
      <c r="X23" s="19"/>
      <c r="Y23" s="19"/>
      <c r="Z23" s="19"/>
      <c r="AA23" s="19"/>
      <c r="AB23" s="24">
        <f t="shared" si="1"/>
        <v>3452.4500000000007</v>
      </c>
      <c r="AD23" s="5">
        <f t="shared" si="35"/>
        <v>2033</v>
      </c>
      <c r="AE23" s="19">
        <f t="shared" si="3"/>
        <v>90</v>
      </c>
      <c r="AF23" s="19">
        <f t="shared" si="4"/>
        <v>4078.7176292832996</v>
      </c>
      <c r="AG23" s="19">
        <f t="shared" si="5"/>
        <v>10462.174914347228</v>
      </c>
      <c r="AH23" s="19">
        <f t="shared" si="6"/>
        <v>16284.445192135214</v>
      </c>
      <c r="AI23" s="19">
        <f t="shared" si="7"/>
        <v>21776.595242371051</v>
      </c>
      <c r="AJ23" s="19">
        <f t="shared" si="8"/>
        <v>26967.510826230944</v>
      </c>
      <c r="AK23" s="19">
        <f t="shared" si="9"/>
        <v>31880.626832009959</v>
      </c>
      <c r="AL23" s="19">
        <f t="shared" si="10"/>
        <v>36531.541068477251</v>
      </c>
      <c r="AM23" s="19">
        <f t="shared" si="11"/>
        <v>18.756</v>
      </c>
      <c r="AN23" s="19">
        <f t="shared" si="12"/>
        <v>495.02036294068341</v>
      </c>
      <c r="AO23" s="19">
        <f t="shared" si="13"/>
        <v>3334.2951452024622</v>
      </c>
      <c r="AP23" s="19">
        <f t="shared" si="14"/>
        <v>1910.1654210374606</v>
      </c>
      <c r="AQ23" s="19">
        <f t="shared" si="15"/>
        <v>10329.365009964667</v>
      </c>
      <c r="AR23" s="19">
        <f t="shared" si="16"/>
        <v>6231.2928349144286</v>
      </c>
      <c r="AS23" s="19">
        <f t="shared" si="17"/>
        <v>25827.558484172343</v>
      </c>
      <c r="AT23" s="19">
        <f t="shared" si="18"/>
        <v>12286.774979364514</v>
      </c>
      <c r="AU23" s="19">
        <f t="shared" si="19"/>
        <v>80.148000000000025</v>
      </c>
      <c r="AV23" s="19">
        <f t="shared" si="20"/>
        <v>0</v>
      </c>
      <c r="AW23" s="19">
        <f t="shared" si="21"/>
        <v>0</v>
      </c>
      <c r="AX23" s="19">
        <f t="shared" si="22"/>
        <v>0</v>
      </c>
      <c r="AY23" s="19">
        <f t="shared" si="23"/>
        <v>0</v>
      </c>
      <c r="AZ23" s="19">
        <f t="shared" si="24"/>
        <v>0</v>
      </c>
      <c r="BA23" s="19">
        <f t="shared" si="25"/>
        <v>0</v>
      </c>
      <c r="BB23" s="19">
        <f t="shared" si="26"/>
        <v>0</v>
      </c>
      <c r="BC23" s="19">
        <f t="shared" si="27"/>
        <v>0</v>
      </c>
      <c r="BD23" s="24">
        <f t="shared" si="28"/>
        <v>208584.98794245147</v>
      </c>
      <c r="BF23" s="19"/>
    </row>
    <row r="24" spans="2:58">
      <c r="B24" s="5">
        <f t="shared" si="33"/>
        <v>2034</v>
      </c>
      <c r="C24" s="80">
        <f>'Project area'!D26</f>
        <v>300</v>
      </c>
      <c r="D24" s="19">
        <f t="shared" si="29"/>
        <v>300</v>
      </c>
      <c r="E24" s="19">
        <f t="shared" si="30"/>
        <v>300</v>
      </c>
      <c r="F24" s="19">
        <f t="shared" si="31"/>
        <v>300</v>
      </c>
      <c r="G24" s="19">
        <f t="shared" si="32"/>
        <v>300</v>
      </c>
      <c r="H24" s="19">
        <f t="shared" si="34"/>
        <v>300</v>
      </c>
      <c r="I24" s="19">
        <f t="shared" si="36"/>
        <v>300</v>
      </c>
      <c r="J24" s="19">
        <f t="shared" si="37"/>
        <v>300</v>
      </c>
      <c r="K24" s="19">
        <f t="shared" si="38"/>
        <v>300</v>
      </c>
      <c r="L24" s="19">
        <f t="shared" si="39"/>
        <v>62.52</v>
      </c>
      <c r="M24" s="19">
        <f t="shared" si="40"/>
        <v>36.410000000000018</v>
      </c>
      <c r="N24" s="19">
        <f t="shared" si="41"/>
        <v>95.610000000000014</v>
      </c>
      <c r="O24" s="19">
        <f t="shared" si="42"/>
        <v>35.19</v>
      </c>
      <c r="P24" s="19">
        <f t="shared" si="43"/>
        <v>142.29999999999998</v>
      </c>
      <c r="Q24" s="19">
        <f t="shared" si="44"/>
        <v>69.319999999999979</v>
      </c>
      <c r="R24" s="19">
        <f t="shared" si="45"/>
        <v>243.04000000000008</v>
      </c>
      <c r="S24" s="19">
        <f t="shared" ref="S24:S36" si="46">C8</f>
        <v>100.89999999999999</v>
      </c>
      <c r="T24" s="19">
        <f>C7</f>
        <v>267.16000000000008</v>
      </c>
      <c r="U24" s="19"/>
      <c r="V24" s="19"/>
      <c r="W24" s="19"/>
      <c r="X24" s="19"/>
      <c r="Y24" s="19"/>
      <c r="Z24" s="19"/>
      <c r="AA24" s="19"/>
      <c r="AB24" s="24">
        <f t="shared" si="1"/>
        <v>3752.4500000000007</v>
      </c>
      <c r="AD24" s="5">
        <f t="shared" si="35"/>
        <v>2034</v>
      </c>
      <c r="AE24" s="19">
        <f t="shared" si="3"/>
        <v>90</v>
      </c>
      <c r="AF24" s="19">
        <f t="shared" si="4"/>
        <v>4078.7176292832996</v>
      </c>
      <c r="AG24" s="19">
        <f t="shared" si="5"/>
        <v>10462.174914347228</v>
      </c>
      <c r="AH24" s="19">
        <f t="shared" si="6"/>
        <v>16284.445192135214</v>
      </c>
      <c r="AI24" s="19">
        <f t="shared" si="7"/>
        <v>21776.595242371051</v>
      </c>
      <c r="AJ24" s="19">
        <f t="shared" si="8"/>
        <v>26967.510826230944</v>
      </c>
      <c r="AK24" s="19">
        <f t="shared" si="9"/>
        <v>31880.626832009959</v>
      </c>
      <c r="AL24" s="19">
        <f t="shared" si="10"/>
        <v>36531.541068477251</v>
      </c>
      <c r="AM24" s="19">
        <f t="shared" si="11"/>
        <v>90</v>
      </c>
      <c r="AN24" s="19">
        <f t="shared" si="12"/>
        <v>850.0047539426397</v>
      </c>
      <c r="AO24" s="19">
        <f t="shared" si="13"/>
        <v>1269.7592954379427</v>
      </c>
      <c r="AP24" s="19">
        <f t="shared" si="14"/>
        <v>5189.8526827334936</v>
      </c>
      <c r="AQ24" s="19">
        <f t="shared" si="15"/>
        <v>2554.3946219301242</v>
      </c>
      <c r="AR24" s="19">
        <f t="shared" si="16"/>
        <v>12791.589301908876</v>
      </c>
      <c r="AS24" s="19">
        <f t="shared" si="17"/>
        <v>7366.5501733164328</v>
      </c>
      <c r="AT24" s="19">
        <f t="shared" si="18"/>
        <v>29595.419137609046</v>
      </c>
      <c r="AU24" s="19">
        <f t="shared" si="19"/>
        <v>30.269999999999996</v>
      </c>
      <c r="AV24" s="19">
        <f t="shared" si="20"/>
        <v>3632.2340061310888</v>
      </c>
      <c r="AW24" s="19">
        <f t="shared" si="21"/>
        <v>0</v>
      </c>
      <c r="AX24" s="19">
        <f t="shared" si="22"/>
        <v>0</v>
      </c>
      <c r="AY24" s="19">
        <f t="shared" si="23"/>
        <v>0</v>
      </c>
      <c r="AZ24" s="19">
        <f t="shared" si="24"/>
        <v>0</v>
      </c>
      <c r="BA24" s="19">
        <f t="shared" si="25"/>
        <v>0</v>
      </c>
      <c r="BB24" s="19">
        <f t="shared" si="26"/>
        <v>0</v>
      </c>
      <c r="BC24" s="19">
        <f t="shared" si="27"/>
        <v>0</v>
      </c>
      <c r="BD24" s="24">
        <f t="shared" si="28"/>
        <v>211441.68567786459</v>
      </c>
      <c r="BF24" s="19"/>
    </row>
    <row r="25" spans="2:58">
      <c r="B25" s="5">
        <f t="shared" si="33"/>
        <v>2035</v>
      </c>
      <c r="C25" s="80">
        <f>'Project area'!D27</f>
        <v>300</v>
      </c>
      <c r="D25" s="19">
        <f t="shared" si="29"/>
        <v>300</v>
      </c>
      <c r="E25" s="19">
        <f t="shared" si="30"/>
        <v>300</v>
      </c>
      <c r="F25" s="19">
        <f t="shared" si="31"/>
        <v>300</v>
      </c>
      <c r="G25" s="19">
        <f t="shared" si="32"/>
        <v>300</v>
      </c>
      <c r="H25" s="19">
        <f t="shared" si="34"/>
        <v>300</v>
      </c>
      <c r="I25" s="19">
        <f t="shared" si="36"/>
        <v>300</v>
      </c>
      <c r="J25" s="19">
        <f t="shared" si="37"/>
        <v>300</v>
      </c>
      <c r="K25" s="19">
        <f t="shared" si="38"/>
        <v>300</v>
      </c>
      <c r="L25" s="19">
        <f t="shared" si="39"/>
        <v>300</v>
      </c>
      <c r="M25" s="19">
        <f t="shared" si="40"/>
        <v>62.52</v>
      </c>
      <c r="N25" s="19">
        <f t="shared" si="41"/>
        <v>36.410000000000018</v>
      </c>
      <c r="O25" s="19">
        <f t="shared" si="42"/>
        <v>95.610000000000014</v>
      </c>
      <c r="P25" s="19">
        <f t="shared" si="43"/>
        <v>35.19</v>
      </c>
      <c r="Q25" s="19">
        <f t="shared" si="44"/>
        <v>142.29999999999998</v>
      </c>
      <c r="R25" s="19">
        <f t="shared" si="45"/>
        <v>69.319999999999979</v>
      </c>
      <c r="S25" s="19">
        <f t="shared" si="46"/>
        <v>243.04000000000008</v>
      </c>
      <c r="T25" s="19">
        <f t="shared" ref="T25:T36" si="47">C8</f>
        <v>100.89999999999999</v>
      </c>
      <c r="U25" s="19">
        <f>C7</f>
        <v>267.16000000000008</v>
      </c>
      <c r="V25" s="19"/>
      <c r="W25" s="19"/>
      <c r="X25" s="19"/>
      <c r="Y25" s="19"/>
      <c r="Z25" s="19"/>
      <c r="AA25" s="19"/>
      <c r="AB25" s="24">
        <f t="shared" si="1"/>
        <v>4052.4500000000007</v>
      </c>
      <c r="AD25" s="5">
        <f t="shared" si="35"/>
        <v>2035</v>
      </c>
      <c r="AE25" s="19">
        <f t="shared" si="3"/>
        <v>90</v>
      </c>
      <c r="AF25" s="19">
        <f t="shared" si="4"/>
        <v>4078.7176292832996</v>
      </c>
      <c r="AG25" s="19">
        <f t="shared" si="5"/>
        <v>10462.174914347228</v>
      </c>
      <c r="AH25" s="19">
        <f t="shared" si="6"/>
        <v>16284.445192135214</v>
      </c>
      <c r="AI25" s="19">
        <f t="shared" si="7"/>
        <v>21776.595242371051</v>
      </c>
      <c r="AJ25" s="19">
        <f t="shared" si="8"/>
        <v>26967.510826230944</v>
      </c>
      <c r="AK25" s="19">
        <f t="shared" si="9"/>
        <v>31880.626832009959</v>
      </c>
      <c r="AL25" s="19">
        <f t="shared" si="10"/>
        <v>36531.541068477251</v>
      </c>
      <c r="AM25" s="19">
        <f t="shared" si="11"/>
        <v>90</v>
      </c>
      <c r="AN25" s="19">
        <f t="shared" si="12"/>
        <v>4078.7176292832996</v>
      </c>
      <c r="AO25" s="19">
        <f t="shared" si="13"/>
        <v>2180.3172521499628</v>
      </c>
      <c r="AP25" s="19">
        <f t="shared" si="14"/>
        <v>1976.3888314854782</v>
      </c>
      <c r="AQ25" s="19">
        <f t="shared" si="15"/>
        <v>6940.2009037436555</v>
      </c>
      <c r="AR25" s="19">
        <f t="shared" si="16"/>
        <v>3163.2890199168896</v>
      </c>
      <c r="AS25" s="19">
        <f t="shared" si="17"/>
        <v>15122.043993983389</v>
      </c>
      <c r="AT25" s="19">
        <f t="shared" si="18"/>
        <v>8441.2214228894736</v>
      </c>
      <c r="AU25" s="19">
        <f t="shared" si="19"/>
        <v>72.91200000000002</v>
      </c>
      <c r="AV25" s="19">
        <f t="shared" si="20"/>
        <v>1371.8086959822831</v>
      </c>
      <c r="AW25" s="19">
        <f t="shared" si="21"/>
        <v>9316.9155003900214</v>
      </c>
      <c r="AX25" s="19">
        <f t="shared" si="22"/>
        <v>0</v>
      </c>
      <c r="AY25" s="19">
        <f t="shared" si="23"/>
        <v>0</v>
      </c>
      <c r="AZ25" s="19">
        <f t="shared" si="24"/>
        <v>0</v>
      </c>
      <c r="BA25" s="19">
        <f t="shared" si="25"/>
        <v>0</v>
      </c>
      <c r="BB25" s="19">
        <f t="shared" si="26"/>
        <v>0</v>
      </c>
      <c r="BC25" s="19">
        <f t="shared" si="27"/>
        <v>0</v>
      </c>
      <c r="BD25" s="24">
        <f t="shared" si="28"/>
        <v>200825.42695467934</v>
      </c>
      <c r="BF25" s="19"/>
    </row>
    <row r="26" spans="2:58">
      <c r="B26" s="5">
        <f t="shared" si="33"/>
        <v>2036</v>
      </c>
      <c r="C26" s="80">
        <f>'Project area'!D28</f>
        <v>300</v>
      </c>
      <c r="D26" s="19">
        <f t="shared" si="29"/>
        <v>300</v>
      </c>
      <c r="E26" s="19">
        <f t="shared" si="30"/>
        <v>300</v>
      </c>
      <c r="F26" s="19">
        <f t="shared" si="31"/>
        <v>300</v>
      </c>
      <c r="G26" s="19">
        <f t="shared" si="32"/>
        <v>300</v>
      </c>
      <c r="H26" s="19">
        <f t="shared" si="34"/>
        <v>300</v>
      </c>
      <c r="I26" s="19">
        <f t="shared" si="36"/>
        <v>300</v>
      </c>
      <c r="J26" s="19">
        <f t="shared" si="37"/>
        <v>300</v>
      </c>
      <c r="K26" s="19">
        <f t="shared" si="38"/>
        <v>300</v>
      </c>
      <c r="L26" s="19">
        <f t="shared" si="39"/>
        <v>300</v>
      </c>
      <c r="M26" s="19">
        <f t="shared" si="40"/>
        <v>300</v>
      </c>
      <c r="N26" s="19">
        <f t="shared" si="41"/>
        <v>62.52</v>
      </c>
      <c r="O26" s="19">
        <f t="shared" si="42"/>
        <v>36.410000000000018</v>
      </c>
      <c r="P26" s="19">
        <f t="shared" si="43"/>
        <v>95.610000000000014</v>
      </c>
      <c r="Q26" s="19">
        <f t="shared" si="44"/>
        <v>35.19</v>
      </c>
      <c r="R26" s="19">
        <f t="shared" si="45"/>
        <v>142.29999999999998</v>
      </c>
      <c r="S26" s="19">
        <f t="shared" si="46"/>
        <v>69.319999999999979</v>
      </c>
      <c r="T26" s="19">
        <f t="shared" si="47"/>
        <v>243.04000000000008</v>
      </c>
      <c r="U26" s="19">
        <f t="shared" ref="U26:U36" si="48">C8</f>
        <v>100.89999999999999</v>
      </c>
      <c r="V26" s="19">
        <f>C7</f>
        <v>267.16000000000008</v>
      </c>
      <c r="W26" s="19"/>
      <c r="X26" s="19"/>
      <c r="Y26" s="19"/>
      <c r="Z26" s="19"/>
      <c r="AA26" s="19"/>
      <c r="AB26" s="24">
        <f t="shared" si="1"/>
        <v>4352.4500000000007</v>
      </c>
      <c r="AD26" s="5">
        <f t="shared" si="35"/>
        <v>2036</v>
      </c>
      <c r="AE26" s="19">
        <f t="shared" si="3"/>
        <v>90</v>
      </c>
      <c r="AF26" s="19">
        <f t="shared" si="4"/>
        <v>4078.7176292832996</v>
      </c>
      <c r="AG26" s="19">
        <f t="shared" si="5"/>
        <v>10462.174914347228</v>
      </c>
      <c r="AH26" s="19">
        <f t="shared" si="6"/>
        <v>16284.445192135214</v>
      </c>
      <c r="AI26" s="19">
        <f t="shared" si="7"/>
        <v>21776.595242371051</v>
      </c>
      <c r="AJ26" s="19">
        <f t="shared" si="8"/>
        <v>26967.510826230944</v>
      </c>
      <c r="AK26" s="19">
        <f t="shared" si="9"/>
        <v>31880.626832009959</v>
      </c>
      <c r="AL26" s="19">
        <f t="shared" si="10"/>
        <v>36531.541068477251</v>
      </c>
      <c r="AM26" s="19">
        <f t="shared" si="11"/>
        <v>90</v>
      </c>
      <c r="AN26" s="19">
        <f t="shared" si="12"/>
        <v>4078.7176292832996</v>
      </c>
      <c r="AO26" s="19">
        <f t="shared" si="13"/>
        <v>10462.174914347228</v>
      </c>
      <c r="AP26" s="19">
        <f t="shared" si="14"/>
        <v>3393.6783780409787</v>
      </c>
      <c r="AQ26" s="19">
        <f t="shared" si="15"/>
        <v>2642.9527759157681</v>
      </c>
      <c r="AR26" s="19">
        <f t="shared" si="16"/>
        <v>8594.5457003198026</v>
      </c>
      <c r="AS26" s="19">
        <f t="shared" si="17"/>
        <v>3739.5975273947683</v>
      </c>
      <c r="AT26" s="19">
        <f t="shared" si="18"/>
        <v>17328.127646814373</v>
      </c>
      <c r="AU26" s="19">
        <f t="shared" si="19"/>
        <v>20.795999999999992</v>
      </c>
      <c r="AV26" s="19">
        <f t="shared" si="20"/>
        <v>3304.3051087367116</v>
      </c>
      <c r="AW26" s="19">
        <f t="shared" si="21"/>
        <v>3518.7781628587841</v>
      </c>
      <c r="AX26" s="19">
        <f t="shared" si="22"/>
        <v>14501.84125843615</v>
      </c>
      <c r="AY26" s="19">
        <f t="shared" si="23"/>
        <v>0</v>
      </c>
      <c r="AZ26" s="19">
        <f t="shared" si="24"/>
        <v>0</v>
      </c>
      <c r="BA26" s="19">
        <f t="shared" si="25"/>
        <v>0</v>
      </c>
      <c r="BB26" s="19">
        <f t="shared" si="26"/>
        <v>0</v>
      </c>
      <c r="BC26" s="19">
        <f t="shared" si="27"/>
        <v>0</v>
      </c>
      <c r="BD26" s="24">
        <f t="shared" si="28"/>
        <v>219747.12680700282</v>
      </c>
      <c r="BF26" s="19"/>
    </row>
    <row r="27" spans="2:58">
      <c r="B27" s="5">
        <f t="shared" si="33"/>
        <v>2037</v>
      </c>
      <c r="C27" s="80">
        <f>'Project area'!D29</f>
        <v>300</v>
      </c>
      <c r="D27" s="19">
        <f t="shared" si="29"/>
        <v>300</v>
      </c>
      <c r="E27" s="19">
        <f t="shared" si="30"/>
        <v>300</v>
      </c>
      <c r="F27" s="19">
        <f t="shared" si="31"/>
        <v>300</v>
      </c>
      <c r="G27" s="19">
        <f t="shared" si="32"/>
        <v>300</v>
      </c>
      <c r="H27" s="19">
        <f t="shared" si="34"/>
        <v>300</v>
      </c>
      <c r="I27" s="19">
        <f t="shared" si="36"/>
        <v>300</v>
      </c>
      <c r="J27" s="19">
        <f t="shared" si="37"/>
        <v>300</v>
      </c>
      <c r="K27" s="19">
        <f t="shared" si="38"/>
        <v>300</v>
      </c>
      <c r="L27" s="19">
        <f t="shared" si="39"/>
        <v>300</v>
      </c>
      <c r="M27" s="19">
        <f t="shared" si="40"/>
        <v>300</v>
      </c>
      <c r="N27" s="19">
        <f t="shared" si="41"/>
        <v>300</v>
      </c>
      <c r="O27" s="19">
        <f t="shared" si="42"/>
        <v>62.52</v>
      </c>
      <c r="P27" s="19">
        <f t="shared" si="43"/>
        <v>36.410000000000018</v>
      </c>
      <c r="Q27" s="19">
        <f t="shared" si="44"/>
        <v>95.610000000000014</v>
      </c>
      <c r="R27" s="19">
        <f t="shared" si="45"/>
        <v>35.19</v>
      </c>
      <c r="S27" s="19">
        <f t="shared" si="46"/>
        <v>142.29999999999998</v>
      </c>
      <c r="T27" s="19">
        <f t="shared" si="47"/>
        <v>69.319999999999979</v>
      </c>
      <c r="U27" s="19">
        <f t="shared" si="48"/>
        <v>243.04000000000008</v>
      </c>
      <c r="V27" s="19">
        <f t="shared" ref="V27:V36" si="49">C8</f>
        <v>100.89999999999999</v>
      </c>
      <c r="W27" s="19">
        <f>C7</f>
        <v>267.16000000000008</v>
      </c>
      <c r="X27" s="19"/>
      <c r="Y27" s="19"/>
      <c r="Z27" s="19"/>
      <c r="AA27" s="19"/>
      <c r="AB27" s="24">
        <f t="shared" si="1"/>
        <v>4652.45</v>
      </c>
      <c r="AD27" s="5">
        <f t="shared" si="35"/>
        <v>2037</v>
      </c>
      <c r="AE27" s="19">
        <f t="shared" si="3"/>
        <v>90</v>
      </c>
      <c r="AF27" s="19">
        <f t="shared" si="4"/>
        <v>4078.7176292832996</v>
      </c>
      <c r="AG27" s="19">
        <f t="shared" si="5"/>
        <v>10462.174914347228</v>
      </c>
      <c r="AH27" s="19">
        <f t="shared" si="6"/>
        <v>16284.445192135214</v>
      </c>
      <c r="AI27" s="19">
        <f t="shared" si="7"/>
        <v>21776.595242371051</v>
      </c>
      <c r="AJ27" s="19">
        <f t="shared" si="8"/>
        <v>26967.510826230944</v>
      </c>
      <c r="AK27" s="19">
        <f t="shared" si="9"/>
        <v>31880.626832009959</v>
      </c>
      <c r="AL27" s="19">
        <f t="shared" si="10"/>
        <v>36531.541068477251</v>
      </c>
      <c r="AM27" s="19">
        <f t="shared" si="11"/>
        <v>90</v>
      </c>
      <c r="AN27" s="19">
        <f t="shared" si="12"/>
        <v>4078.7176292832996</v>
      </c>
      <c r="AO27" s="19">
        <f t="shared" si="13"/>
        <v>10462.174914347228</v>
      </c>
      <c r="AP27" s="19">
        <f t="shared" si="14"/>
        <v>16284.445192135214</v>
      </c>
      <c r="AQ27" s="19">
        <f t="shared" si="15"/>
        <v>4538.2424485101274</v>
      </c>
      <c r="AR27" s="19">
        <f t="shared" si="16"/>
        <v>3272.9568972768975</v>
      </c>
      <c r="AS27" s="19">
        <f t="shared" si="17"/>
        <v>10160.355771361576</v>
      </c>
      <c r="AT27" s="19">
        <f t="shared" si="18"/>
        <v>4285.1497673323811</v>
      </c>
      <c r="AU27" s="19">
        <f t="shared" si="19"/>
        <v>42.689999999999991</v>
      </c>
      <c r="AV27" s="19">
        <f t="shared" si="20"/>
        <v>942.45568687306081</v>
      </c>
      <c r="AW27" s="19">
        <f t="shared" si="21"/>
        <v>8475.756637276505</v>
      </c>
      <c r="AX27" s="19">
        <f t="shared" si="22"/>
        <v>5477.00173295481</v>
      </c>
      <c r="AY27" s="19">
        <f t="shared" si="23"/>
        <v>19392.783949839508</v>
      </c>
      <c r="AZ27" s="19">
        <f t="shared" si="24"/>
        <v>0</v>
      </c>
      <c r="BA27" s="19">
        <f t="shared" si="25"/>
        <v>0</v>
      </c>
      <c r="BB27" s="19">
        <f t="shared" si="26"/>
        <v>0</v>
      </c>
      <c r="BC27" s="19">
        <f t="shared" si="27"/>
        <v>0</v>
      </c>
      <c r="BD27" s="24">
        <f t="shared" si="28"/>
        <v>235574.34233204555</v>
      </c>
      <c r="BF27" s="19"/>
    </row>
    <row r="28" spans="2:58">
      <c r="B28" s="5">
        <f t="shared" si="33"/>
        <v>2038</v>
      </c>
      <c r="C28" s="80">
        <f>'Project area'!D30</f>
        <v>300</v>
      </c>
      <c r="D28" s="19">
        <f t="shared" si="29"/>
        <v>300</v>
      </c>
      <c r="E28" s="19">
        <f t="shared" si="30"/>
        <v>300</v>
      </c>
      <c r="F28" s="19">
        <f t="shared" si="31"/>
        <v>300</v>
      </c>
      <c r="G28" s="19">
        <f t="shared" si="32"/>
        <v>300</v>
      </c>
      <c r="H28" s="19">
        <f t="shared" si="34"/>
        <v>300</v>
      </c>
      <c r="I28" s="19">
        <f t="shared" si="36"/>
        <v>300</v>
      </c>
      <c r="J28" s="19">
        <f t="shared" si="37"/>
        <v>300</v>
      </c>
      <c r="K28" s="19">
        <f t="shared" si="38"/>
        <v>300</v>
      </c>
      <c r="L28" s="19">
        <f t="shared" si="39"/>
        <v>300</v>
      </c>
      <c r="M28" s="19">
        <f t="shared" si="40"/>
        <v>300</v>
      </c>
      <c r="N28" s="19">
        <f t="shared" si="41"/>
        <v>300</v>
      </c>
      <c r="O28" s="19">
        <f t="shared" si="42"/>
        <v>300</v>
      </c>
      <c r="P28" s="19">
        <f t="shared" si="43"/>
        <v>62.52</v>
      </c>
      <c r="Q28" s="19">
        <f t="shared" si="44"/>
        <v>36.410000000000018</v>
      </c>
      <c r="R28" s="19">
        <f t="shared" si="45"/>
        <v>95.610000000000014</v>
      </c>
      <c r="S28" s="19">
        <f t="shared" si="46"/>
        <v>35.19</v>
      </c>
      <c r="T28" s="19">
        <f t="shared" si="47"/>
        <v>142.29999999999998</v>
      </c>
      <c r="U28" s="19">
        <f t="shared" si="48"/>
        <v>69.319999999999979</v>
      </c>
      <c r="V28" s="19">
        <f t="shared" si="49"/>
        <v>243.04000000000008</v>
      </c>
      <c r="W28" s="19">
        <f t="shared" ref="W28:W36" si="50">C8</f>
        <v>100.89999999999999</v>
      </c>
      <c r="X28" s="19">
        <f>C7</f>
        <v>267.16000000000008</v>
      </c>
      <c r="Y28" s="19"/>
      <c r="Z28" s="19"/>
      <c r="AA28" s="19"/>
      <c r="AB28" s="24">
        <f t="shared" si="1"/>
        <v>4685.2899999999991</v>
      </c>
      <c r="AD28" s="5">
        <f t="shared" si="35"/>
        <v>2038</v>
      </c>
      <c r="AE28" s="19">
        <f t="shared" si="3"/>
        <v>90</v>
      </c>
      <c r="AF28" s="19">
        <f t="shared" si="4"/>
        <v>4078.7176292832996</v>
      </c>
      <c r="AG28" s="19">
        <f t="shared" si="5"/>
        <v>10462.174914347228</v>
      </c>
      <c r="AH28" s="19">
        <f t="shared" si="6"/>
        <v>16284.445192135214</v>
      </c>
      <c r="AI28" s="19">
        <f t="shared" si="7"/>
        <v>21776.595242371051</v>
      </c>
      <c r="AJ28" s="19">
        <f t="shared" si="8"/>
        <v>26967.510826230944</v>
      </c>
      <c r="AK28" s="19">
        <f t="shared" si="9"/>
        <v>31880.626832009959</v>
      </c>
      <c r="AL28" s="19">
        <f t="shared" si="10"/>
        <v>36531.541068477251</v>
      </c>
      <c r="AM28" s="19">
        <f t="shared" si="11"/>
        <v>90</v>
      </c>
      <c r="AN28" s="19">
        <f t="shared" si="12"/>
        <v>4078.7176292832996</v>
      </c>
      <c r="AO28" s="19">
        <f t="shared" si="13"/>
        <v>10462.174914347228</v>
      </c>
      <c r="AP28" s="19">
        <f t="shared" si="14"/>
        <v>16284.445192135214</v>
      </c>
      <c r="AQ28" s="19">
        <f t="shared" si="15"/>
        <v>21776.595242371051</v>
      </c>
      <c r="AR28" s="19">
        <f t="shared" si="16"/>
        <v>5620.029256186529</v>
      </c>
      <c r="AS28" s="19">
        <f t="shared" si="17"/>
        <v>3869.2454098449443</v>
      </c>
      <c r="AT28" s="19">
        <f t="shared" si="18"/>
        <v>11642.6021385237</v>
      </c>
      <c r="AU28" s="19">
        <f t="shared" si="19"/>
        <v>10.556999999999999</v>
      </c>
      <c r="AV28" s="19">
        <f t="shared" si="20"/>
        <v>1934.6717288233783</v>
      </c>
      <c r="AW28" s="19">
        <f t="shared" si="21"/>
        <v>2417.4598835418324</v>
      </c>
      <c r="AX28" s="19">
        <f t="shared" si="22"/>
        <v>13192.57186498848</v>
      </c>
      <c r="AY28" s="19">
        <f t="shared" si="23"/>
        <v>7324.1948665174632</v>
      </c>
      <c r="AZ28" s="19">
        <f t="shared" si="24"/>
        <v>24015.467307786206</v>
      </c>
      <c r="BA28" s="19">
        <f t="shared" si="25"/>
        <v>0</v>
      </c>
      <c r="BB28" s="19">
        <f t="shared" si="26"/>
        <v>0</v>
      </c>
      <c r="BC28" s="19">
        <f t="shared" si="27"/>
        <v>0</v>
      </c>
      <c r="BD28" s="24">
        <f t="shared" si="28"/>
        <v>270790.3441392043</v>
      </c>
      <c r="BF28" s="19"/>
    </row>
    <row r="29" spans="2:58">
      <c r="B29" s="5">
        <f t="shared" si="33"/>
        <v>2039</v>
      </c>
      <c r="C29" s="80">
        <f>'Project area'!D31</f>
        <v>300</v>
      </c>
      <c r="D29" s="19">
        <f t="shared" si="29"/>
        <v>300</v>
      </c>
      <c r="E29" s="19">
        <f t="shared" si="30"/>
        <v>300</v>
      </c>
      <c r="F29" s="19">
        <f t="shared" si="31"/>
        <v>300</v>
      </c>
      <c r="G29" s="19">
        <f t="shared" si="32"/>
        <v>300</v>
      </c>
      <c r="H29" s="19">
        <f t="shared" si="34"/>
        <v>300</v>
      </c>
      <c r="I29" s="19">
        <f t="shared" si="36"/>
        <v>300</v>
      </c>
      <c r="J29" s="19">
        <f t="shared" si="37"/>
        <v>300</v>
      </c>
      <c r="K29" s="19">
        <f t="shared" si="38"/>
        <v>300</v>
      </c>
      <c r="L29" s="19">
        <f t="shared" si="39"/>
        <v>300</v>
      </c>
      <c r="M29" s="19">
        <f t="shared" si="40"/>
        <v>300</v>
      </c>
      <c r="N29" s="19">
        <f t="shared" si="41"/>
        <v>300</v>
      </c>
      <c r="O29" s="19">
        <f t="shared" si="42"/>
        <v>300</v>
      </c>
      <c r="P29" s="19">
        <f t="shared" si="43"/>
        <v>300</v>
      </c>
      <c r="Q29" s="19">
        <f t="shared" si="44"/>
        <v>62.52</v>
      </c>
      <c r="R29" s="19">
        <f t="shared" si="45"/>
        <v>36.410000000000018</v>
      </c>
      <c r="S29" s="19">
        <f t="shared" si="46"/>
        <v>95.610000000000014</v>
      </c>
      <c r="T29" s="19">
        <f t="shared" si="47"/>
        <v>35.19</v>
      </c>
      <c r="U29" s="19">
        <f t="shared" si="48"/>
        <v>142.29999999999998</v>
      </c>
      <c r="V29" s="19">
        <f t="shared" si="49"/>
        <v>69.319999999999979</v>
      </c>
      <c r="W29" s="19">
        <f t="shared" si="50"/>
        <v>243.04000000000008</v>
      </c>
      <c r="X29" s="19">
        <f t="shared" ref="X29:X36" si="51">C8</f>
        <v>100.89999999999999</v>
      </c>
      <c r="Y29" s="19">
        <f>C7</f>
        <v>267.16000000000008</v>
      </c>
      <c r="Z29" s="19"/>
      <c r="AA29" s="19"/>
      <c r="AB29" s="24">
        <f t="shared" si="1"/>
        <v>4884.3899999999994</v>
      </c>
      <c r="AD29" s="5">
        <f t="shared" si="35"/>
        <v>2039</v>
      </c>
      <c r="AE29" s="19">
        <f t="shared" si="3"/>
        <v>90</v>
      </c>
      <c r="AF29" s="19">
        <f t="shared" si="4"/>
        <v>4078.7176292832996</v>
      </c>
      <c r="AG29" s="19">
        <f t="shared" si="5"/>
        <v>10462.174914347228</v>
      </c>
      <c r="AH29" s="19">
        <f t="shared" si="6"/>
        <v>16284.445192135214</v>
      </c>
      <c r="AI29" s="19">
        <f t="shared" si="7"/>
        <v>21776.595242371051</v>
      </c>
      <c r="AJ29" s="19">
        <f t="shared" si="8"/>
        <v>26967.510826230944</v>
      </c>
      <c r="AK29" s="19">
        <f t="shared" si="9"/>
        <v>31880.626832009959</v>
      </c>
      <c r="AL29" s="19">
        <f t="shared" si="10"/>
        <v>36531.541068477251</v>
      </c>
      <c r="AM29" s="19">
        <f t="shared" si="11"/>
        <v>90</v>
      </c>
      <c r="AN29" s="19">
        <f t="shared" si="12"/>
        <v>4078.7176292832996</v>
      </c>
      <c r="AO29" s="19">
        <f t="shared" si="13"/>
        <v>10462.174914347228</v>
      </c>
      <c r="AP29" s="19">
        <f t="shared" si="14"/>
        <v>16284.445192135214</v>
      </c>
      <c r="AQ29" s="19">
        <f t="shared" si="15"/>
        <v>21776.595242371051</v>
      </c>
      <c r="AR29" s="19">
        <f t="shared" si="16"/>
        <v>26967.510826230944</v>
      </c>
      <c r="AS29" s="19">
        <f t="shared" si="17"/>
        <v>6643.922631790876</v>
      </c>
      <c r="AT29" s="19">
        <f t="shared" si="18"/>
        <v>4433.7113676775243</v>
      </c>
      <c r="AU29" s="19">
        <f t="shared" si="19"/>
        <v>28.683000000000003</v>
      </c>
      <c r="AV29" s="19">
        <f t="shared" si="20"/>
        <v>478.43357791493105</v>
      </c>
      <c r="AW29" s="19">
        <f t="shared" si="21"/>
        <v>4962.5583010387018</v>
      </c>
      <c r="AX29" s="19">
        <f t="shared" si="22"/>
        <v>3762.7924690627092</v>
      </c>
      <c r="AY29" s="19">
        <f t="shared" si="23"/>
        <v>17641.945692352874</v>
      </c>
      <c r="AZ29" s="19">
        <f t="shared" si="24"/>
        <v>9070.0728078890079</v>
      </c>
      <c r="BA29" s="19">
        <f t="shared" si="25"/>
        <v>28390.760881465947</v>
      </c>
      <c r="BB29" s="19">
        <f t="shared" si="26"/>
        <v>0</v>
      </c>
      <c r="BC29" s="19">
        <f t="shared" si="27"/>
        <v>0</v>
      </c>
      <c r="BD29" s="24">
        <f>SUM(AE29:BC29)</f>
        <v>303143.93623841519</v>
      </c>
      <c r="BF29" s="19"/>
    </row>
    <row r="30" spans="2:58">
      <c r="B30" s="5">
        <f t="shared" si="33"/>
        <v>2040</v>
      </c>
      <c r="C30" s="80">
        <f>'Project area'!D32</f>
        <v>300</v>
      </c>
      <c r="D30" s="19">
        <f t="shared" si="29"/>
        <v>300</v>
      </c>
      <c r="E30" s="19">
        <f t="shared" si="30"/>
        <v>300</v>
      </c>
      <c r="F30" s="19">
        <f t="shared" si="31"/>
        <v>300</v>
      </c>
      <c r="G30" s="19">
        <f t="shared" si="32"/>
        <v>300</v>
      </c>
      <c r="H30" s="19">
        <f t="shared" si="34"/>
        <v>300</v>
      </c>
      <c r="I30" s="19">
        <f t="shared" si="36"/>
        <v>300</v>
      </c>
      <c r="J30" s="19">
        <f t="shared" si="37"/>
        <v>300</v>
      </c>
      <c r="K30" s="19">
        <f t="shared" si="38"/>
        <v>300</v>
      </c>
      <c r="L30" s="19">
        <f t="shared" si="39"/>
        <v>300</v>
      </c>
      <c r="M30" s="19">
        <f t="shared" si="40"/>
        <v>300</v>
      </c>
      <c r="N30" s="19">
        <f t="shared" si="41"/>
        <v>300</v>
      </c>
      <c r="O30" s="19">
        <f t="shared" si="42"/>
        <v>300</v>
      </c>
      <c r="P30" s="19">
        <f t="shared" si="43"/>
        <v>300</v>
      </c>
      <c r="Q30" s="19">
        <f t="shared" si="44"/>
        <v>300</v>
      </c>
      <c r="R30" s="19">
        <f t="shared" si="45"/>
        <v>62.52</v>
      </c>
      <c r="S30" s="19">
        <f t="shared" si="46"/>
        <v>36.410000000000018</v>
      </c>
      <c r="T30" s="19">
        <f t="shared" si="47"/>
        <v>95.610000000000014</v>
      </c>
      <c r="U30" s="19">
        <f t="shared" si="48"/>
        <v>35.19</v>
      </c>
      <c r="V30" s="19">
        <f t="shared" si="49"/>
        <v>142.29999999999998</v>
      </c>
      <c r="W30" s="19">
        <f t="shared" si="50"/>
        <v>69.319999999999979</v>
      </c>
      <c r="X30" s="19">
        <f t="shared" si="51"/>
        <v>243.04000000000008</v>
      </c>
      <c r="Y30" s="19">
        <f t="shared" ref="Y30:Y36" si="52">C8</f>
        <v>100.89999999999999</v>
      </c>
      <c r="Z30" s="19">
        <f>C7</f>
        <v>267.16000000000008</v>
      </c>
      <c r="AA30" s="19"/>
      <c r="AB30" s="24">
        <f t="shared" si="1"/>
        <v>4941.3499999999995</v>
      </c>
      <c r="AD30" s="5">
        <f t="shared" si="35"/>
        <v>2040</v>
      </c>
      <c r="AE30" s="19">
        <f t="shared" si="3"/>
        <v>90</v>
      </c>
      <c r="AF30" s="19">
        <f t="shared" si="4"/>
        <v>4078.7176292832996</v>
      </c>
      <c r="AG30" s="19">
        <f t="shared" si="5"/>
        <v>10462.174914347228</v>
      </c>
      <c r="AH30" s="19">
        <f t="shared" si="6"/>
        <v>16284.445192135214</v>
      </c>
      <c r="AI30" s="19">
        <f t="shared" si="7"/>
        <v>21776.595242371051</v>
      </c>
      <c r="AJ30" s="19">
        <f t="shared" si="8"/>
        <v>26967.510826230944</v>
      </c>
      <c r="AK30" s="19">
        <f t="shared" si="9"/>
        <v>31880.626832009959</v>
      </c>
      <c r="AL30" s="19">
        <f t="shared" si="10"/>
        <v>36531.541068477251</v>
      </c>
      <c r="AM30" s="19">
        <f t="shared" si="11"/>
        <v>90</v>
      </c>
      <c r="AN30" s="19">
        <f t="shared" si="12"/>
        <v>4078.7176292832996</v>
      </c>
      <c r="AO30" s="19">
        <f t="shared" si="13"/>
        <v>10462.174914347228</v>
      </c>
      <c r="AP30" s="19">
        <f t="shared" si="14"/>
        <v>16284.445192135214</v>
      </c>
      <c r="AQ30" s="19">
        <f t="shared" si="15"/>
        <v>21776.595242371051</v>
      </c>
      <c r="AR30" s="19">
        <f t="shared" si="16"/>
        <v>26967.510826230944</v>
      </c>
      <c r="AS30" s="19">
        <f t="shared" si="17"/>
        <v>31880.626832009959</v>
      </c>
      <c r="AT30" s="19">
        <f t="shared" si="18"/>
        <v>7613.1731586706592</v>
      </c>
      <c r="AU30" s="19">
        <f t="shared" si="19"/>
        <v>10.923000000000005</v>
      </c>
      <c r="AV30" s="19">
        <f t="shared" si="20"/>
        <v>1299.8873084525878</v>
      </c>
      <c r="AW30" s="19">
        <f t="shared" si="21"/>
        <v>1227.2131174529297</v>
      </c>
      <c r="AX30" s="19">
        <f t="shared" si="22"/>
        <v>7724.2551694694694</v>
      </c>
      <c r="AY30" s="19">
        <f t="shared" si="23"/>
        <v>5031.8452740038692</v>
      </c>
      <c r="AZ30" s="19">
        <f t="shared" si="24"/>
        <v>21847.279437357236</v>
      </c>
      <c r="BA30" s="19">
        <f t="shared" si="25"/>
        <v>10722.517491166016</v>
      </c>
      <c r="BB30" s="19">
        <f t="shared" si="26"/>
        <v>32532.555039514617</v>
      </c>
      <c r="BC30" s="19">
        <f t="shared" si="27"/>
        <v>0</v>
      </c>
      <c r="BD30" s="24">
        <f t="shared" si="28"/>
        <v>347621.33133731998</v>
      </c>
      <c r="BF30" s="19"/>
    </row>
    <row r="31" spans="2:58">
      <c r="B31" s="5">
        <f t="shared" si="33"/>
        <v>2041</v>
      </c>
      <c r="C31" s="80">
        <f>'Project area'!D33</f>
        <v>300</v>
      </c>
      <c r="D31" s="19">
        <f t="shared" si="29"/>
        <v>300</v>
      </c>
      <c r="E31" s="19">
        <f t="shared" si="30"/>
        <v>300</v>
      </c>
      <c r="F31" s="19">
        <f t="shared" si="31"/>
        <v>300</v>
      </c>
      <c r="G31" s="19">
        <f t="shared" si="32"/>
        <v>300</v>
      </c>
      <c r="H31" s="19">
        <f t="shared" si="34"/>
        <v>300</v>
      </c>
      <c r="I31" s="19">
        <f t="shared" si="36"/>
        <v>300</v>
      </c>
      <c r="J31" s="19">
        <f t="shared" si="37"/>
        <v>300</v>
      </c>
      <c r="K31" s="19">
        <f t="shared" si="38"/>
        <v>300</v>
      </c>
      <c r="L31" s="19">
        <f t="shared" si="39"/>
        <v>300</v>
      </c>
      <c r="M31" s="19">
        <f t="shared" si="40"/>
        <v>300</v>
      </c>
      <c r="N31" s="19">
        <f t="shared" si="41"/>
        <v>300</v>
      </c>
      <c r="O31" s="19">
        <f t="shared" si="42"/>
        <v>300</v>
      </c>
      <c r="P31" s="19">
        <f t="shared" si="43"/>
        <v>300</v>
      </c>
      <c r="Q31" s="19">
        <f t="shared" si="44"/>
        <v>300</v>
      </c>
      <c r="R31" s="19">
        <f t="shared" si="45"/>
        <v>300</v>
      </c>
      <c r="S31" s="19">
        <f t="shared" si="46"/>
        <v>62.52</v>
      </c>
      <c r="T31" s="19">
        <f t="shared" si="47"/>
        <v>36.410000000000018</v>
      </c>
      <c r="U31" s="19">
        <f t="shared" si="48"/>
        <v>95.610000000000014</v>
      </c>
      <c r="V31" s="19">
        <f t="shared" si="49"/>
        <v>35.19</v>
      </c>
      <c r="W31" s="19">
        <f t="shared" si="50"/>
        <v>142.29999999999998</v>
      </c>
      <c r="X31" s="19">
        <f t="shared" si="51"/>
        <v>69.319999999999979</v>
      </c>
      <c r="Y31" s="19">
        <f t="shared" si="52"/>
        <v>243.04000000000008</v>
      </c>
      <c r="Z31" s="19">
        <f t="shared" ref="Z31:Z36" si="53">C8</f>
        <v>100.89999999999999</v>
      </c>
      <c r="AA31" s="19">
        <f>C7</f>
        <v>267.16000000000008</v>
      </c>
      <c r="AB31" s="24">
        <f t="shared" si="1"/>
        <v>5172.03</v>
      </c>
      <c r="AD31" s="5">
        <f t="shared" si="35"/>
        <v>2041</v>
      </c>
      <c r="AE31" s="19">
        <f t="shared" si="3"/>
        <v>90</v>
      </c>
      <c r="AF31" s="19">
        <f t="shared" si="4"/>
        <v>4078.7176292832996</v>
      </c>
      <c r="AG31" s="19">
        <f t="shared" si="5"/>
        <v>10462.174914347228</v>
      </c>
      <c r="AH31" s="19">
        <f t="shared" si="6"/>
        <v>16284.445192135214</v>
      </c>
      <c r="AI31" s="19">
        <f t="shared" si="7"/>
        <v>21776.595242371051</v>
      </c>
      <c r="AJ31" s="19">
        <f t="shared" si="8"/>
        <v>26967.510826230944</v>
      </c>
      <c r="AK31" s="19">
        <f t="shared" si="9"/>
        <v>31880.626832009959</v>
      </c>
      <c r="AL31" s="19">
        <f t="shared" si="10"/>
        <v>36531.541068477251</v>
      </c>
      <c r="AM31" s="19">
        <f t="shared" si="11"/>
        <v>90</v>
      </c>
      <c r="AN31" s="19">
        <f t="shared" si="12"/>
        <v>4078.7176292832996</v>
      </c>
      <c r="AO31" s="19">
        <f t="shared" si="13"/>
        <v>10462.174914347228</v>
      </c>
      <c r="AP31" s="19">
        <f t="shared" si="14"/>
        <v>16284.445192135214</v>
      </c>
      <c r="AQ31" s="19">
        <f t="shared" si="15"/>
        <v>21776.595242371051</v>
      </c>
      <c r="AR31" s="19">
        <f t="shared" si="16"/>
        <v>26967.510826230944</v>
      </c>
      <c r="AS31" s="19">
        <f t="shared" si="17"/>
        <v>31880.626832009959</v>
      </c>
      <c r="AT31" s="19">
        <f t="shared" si="18"/>
        <v>36531.541068477251</v>
      </c>
      <c r="AU31" s="19">
        <f t="shared" si="19"/>
        <v>18.756</v>
      </c>
      <c r="AV31" s="19">
        <f t="shared" si="20"/>
        <v>495.02036294068341</v>
      </c>
      <c r="AW31" s="19">
        <f t="shared" si="21"/>
        <v>3334.2951452024622</v>
      </c>
      <c r="AX31" s="19">
        <f t="shared" si="22"/>
        <v>1910.1654210374606</v>
      </c>
      <c r="AY31" s="19">
        <f t="shared" si="23"/>
        <v>10329.365009964667</v>
      </c>
      <c r="AZ31" s="19">
        <f t="shared" si="24"/>
        <v>6231.2928349144286</v>
      </c>
      <c r="BA31" s="19">
        <f t="shared" si="25"/>
        <v>25827.558484172343</v>
      </c>
      <c r="BB31" s="19">
        <f t="shared" si="26"/>
        <v>12286.774979364514</v>
      </c>
      <c r="BC31" s="19">
        <f t="shared" si="27"/>
        <v>0</v>
      </c>
      <c r="BD31" s="24">
        <f t="shared" si="28"/>
        <v>356576.45164730644</v>
      </c>
      <c r="BF31" s="19"/>
    </row>
    <row r="32" spans="2:58">
      <c r="B32" s="5">
        <f t="shared" si="33"/>
        <v>2042</v>
      </c>
      <c r="C32" s="80">
        <f>'Project area'!D34</f>
        <v>300</v>
      </c>
      <c r="D32" s="19">
        <f t="shared" si="29"/>
        <v>300</v>
      </c>
      <c r="E32" s="19">
        <f t="shared" si="30"/>
        <v>300</v>
      </c>
      <c r="F32" s="19">
        <f t="shared" si="31"/>
        <v>300</v>
      </c>
      <c r="G32" s="19">
        <f t="shared" si="32"/>
        <v>300</v>
      </c>
      <c r="H32" s="19">
        <f t="shared" si="34"/>
        <v>300</v>
      </c>
      <c r="I32" s="19">
        <f t="shared" si="36"/>
        <v>300</v>
      </c>
      <c r="J32" s="19">
        <f t="shared" si="37"/>
        <v>300</v>
      </c>
      <c r="K32" s="19">
        <f t="shared" si="38"/>
        <v>300</v>
      </c>
      <c r="L32" s="19">
        <f t="shared" si="39"/>
        <v>300</v>
      </c>
      <c r="M32" s="19">
        <f t="shared" si="40"/>
        <v>300</v>
      </c>
      <c r="N32" s="19">
        <f t="shared" si="41"/>
        <v>300</v>
      </c>
      <c r="O32" s="19">
        <f t="shared" si="42"/>
        <v>300</v>
      </c>
      <c r="P32" s="19">
        <f t="shared" si="43"/>
        <v>300</v>
      </c>
      <c r="Q32" s="19">
        <f t="shared" si="44"/>
        <v>300</v>
      </c>
      <c r="R32" s="19">
        <f t="shared" si="45"/>
        <v>300</v>
      </c>
      <c r="S32" s="19">
        <f t="shared" si="46"/>
        <v>300</v>
      </c>
      <c r="T32" s="19">
        <f t="shared" si="47"/>
        <v>62.52</v>
      </c>
      <c r="U32" s="19">
        <f t="shared" si="48"/>
        <v>36.410000000000018</v>
      </c>
      <c r="V32" s="19">
        <f t="shared" si="49"/>
        <v>95.610000000000014</v>
      </c>
      <c r="W32" s="19">
        <f t="shared" si="50"/>
        <v>35.19</v>
      </c>
      <c r="X32" s="19">
        <f t="shared" si="51"/>
        <v>142.29999999999998</v>
      </c>
      <c r="Y32" s="19">
        <f t="shared" si="52"/>
        <v>69.319999999999979</v>
      </c>
      <c r="Z32" s="19">
        <f t="shared" si="53"/>
        <v>243.04000000000008</v>
      </c>
      <c r="AA32" s="19">
        <f t="shared" ref="AA32:AA36" si="54">C8</f>
        <v>100.89999999999999</v>
      </c>
      <c r="AB32" s="24">
        <f t="shared" si="1"/>
        <v>5329.73</v>
      </c>
      <c r="AD32" s="5">
        <f t="shared" si="35"/>
        <v>2042</v>
      </c>
      <c r="AE32" s="19">
        <f t="shared" si="3"/>
        <v>90</v>
      </c>
      <c r="AF32" s="19">
        <f t="shared" si="4"/>
        <v>4078.7176292832996</v>
      </c>
      <c r="AG32" s="19">
        <f t="shared" si="5"/>
        <v>10462.174914347228</v>
      </c>
      <c r="AH32" s="19">
        <f t="shared" si="6"/>
        <v>16284.445192135214</v>
      </c>
      <c r="AI32" s="19">
        <f t="shared" si="7"/>
        <v>21776.595242371051</v>
      </c>
      <c r="AJ32" s="19">
        <f t="shared" si="8"/>
        <v>26967.510826230944</v>
      </c>
      <c r="AK32" s="19">
        <f t="shared" si="9"/>
        <v>31880.626832009959</v>
      </c>
      <c r="AL32" s="19">
        <f t="shared" si="10"/>
        <v>36531.541068477251</v>
      </c>
      <c r="AM32" s="19">
        <f t="shared" si="11"/>
        <v>90</v>
      </c>
      <c r="AN32" s="19">
        <f t="shared" si="12"/>
        <v>4078.7176292832996</v>
      </c>
      <c r="AO32" s="19">
        <f t="shared" si="13"/>
        <v>10462.174914347228</v>
      </c>
      <c r="AP32" s="19">
        <f t="shared" si="14"/>
        <v>16284.445192135214</v>
      </c>
      <c r="AQ32" s="19">
        <f t="shared" si="15"/>
        <v>21776.595242371051</v>
      </c>
      <c r="AR32" s="19">
        <f t="shared" si="16"/>
        <v>26967.510826230944</v>
      </c>
      <c r="AS32" s="19">
        <f t="shared" si="17"/>
        <v>31880.626832009959</v>
      </c>
      <c r="AT32" s="19">
        <f t="shared" si="18"/>
        <v>36531.541068477251</v>
      </c>
      <c r="AU32" s="19">
        <f t="shared" si="19"/>
        <v>90</v>
      </c>
      <c r="AV32" s="19">
        <f t="shared" si="20"/>
        <v>850.0047539426397</v>
      </c>
      <c r="AW32" s="19">
        <f t="shared" si="21"/>
        <v>1269.7592954379427</v>
      </c>
      <c r="AX32" s="19">
        <f t="shared" si="22"/>
        <v>5189.8526827334936</v>
      </c>
      <c r="AY32" s="19">
        <f t="shared" si="23"/>
        <v>2554.3946219301242</v>
      </c>
      <c r="AZ32" s="19">
        <f t="shared" si="24"/>
        <v>12791.589301908876</v>
      </c>
      <c r="BA32" s="19">
        <f t="shared" si="25"/>
        <v>7366.5501733164328</v>
      </c>
      <c r="BB32" s="19">
        <f t="shared" si="26"/>
        <v>29595.419137609046</v>
      </c>
      <c r="BC32" s="19">
        <f t="shared" si="27"/>
        <v>0</v>
      </c>
      <c r="BD32" s="24">
        <f t="shared" si="28"/>
        <v>355850.7933765885</v>
      </c>
      <c r="BF32" s="19"/>
    </row>
    <row r="33" spans="1:71">
      <c r="B33" s="5">
        <f t="shared" si="33"/>
        <v>2043</v>
      </c>
      <c r="C33" s="80">
        <f>'Project area'!D35</f>
        <v>300</v>
      </c>
      <c r="D33" s="19">
        <f t="shared" si="29"/>
        <v>300</v>
      </c>
      <c r="E33" s="19">
        <f t="shared" si="30"/>
        <v>300</v>
      </c>
      <c r="F33" s="19">
        <f t="shared" si="31"/>
        <v>300</v>
      </c>
      <c r="G33" s="19">
        <f t="shared" si="32"/>
        <v>300</v>
      </c>
      <c r="H33" s="19">
        <f t="shared" si="34"/>
        <v>300</v>
      </c>
      <c r="I33" s="19">
        <f t="shared" si="36"/>
        <v>300</v>
      </c>
      <c r="J33" s="19">
        <f t="shared" si="37"/>
        <v>300</v>
      </c>
      <c r="K33" s="19">
        <f t="shared" si="38"/>
        <v>300</v>
      </c>
      <c r="L33" s="19">
        <f t="shared" si="39"/>
        <v>300</v>
      </c>
      <c r="M33" s="19">
        <f t="shared" si="40"/>
        <v>300</v>
      </c>
      <c r="N33" s="19">
        <f t="shared" si="41"/>
        <v>300</v>
      </c>
      <c r="O33" s="19">
        <f t="shared" si="42"/>
        <v>300</v>
      </c>
      <c r="P33" s="19">
        <f t="shared" si="43"/>
        <v>300</v>
      </c>
      <c r="Q33" s="19">
        <f t="shared" si="44"/>
        <v>300</v>
      </c>
      <c r="R33" s="19">
        <f t="shared" si="45"/>
        <v>300</v>
      </c>
      <c r="S33" s="19">
        <f t="shared" si="46"/>
        <v>300</v>
      </c>
      <c r="T33" s="19">
        <f t="shared" si="47"/>
        <v>300</v>
      </c>
      <c r="U33" s="19">
        <f t="shared" si="48"/>
        <v>62.52</v>
      </c>
      <c r="V33" s="19">
        <f t="shared" si="49"/>
        <v>36.410000000000018</v>
      </c>
      <c r="W33" s="19">
        <f t="shared" si="50"/>
        <v>95.610000000000014</v>
      </c>
      <c r="X33" s="19">
        <f t="shared" si="51"/>
        <v>35.19</v>
      </c>
      <c r="Y33" s="19">
        <f t="shared" si="52"/>
        <v>142.29999999999998</v>
      </c>
      <c r="Z33" s="19">
        <f t="shared" si="53"/>
        <v>69.319999999999979</v>
      </c>
      <c r="AA33" s="19">
        <f t="shared" si="54"/>
        <v>243.04000000000008</v>
      </c>
      <c r="AB33" s="24">
        <f t="shared" si="1"/>
        <v>5594.54</v>
      </c>
      <c r="AD33" s="5">
        <f t="shared" si="35"/>
        <v>2043</v>
      </c>
      <c r="AE33" s="19">
        <f t="shared" si="3"/>
        <v>90</v>
      </c>
      <c r="AF33" s="19">
        <f t="shared" si="4"/>
        <v>4078.7176292832996</v>
      </c>
      <c r="AG33" s="19">
        <f t="shared" si="5"/>
        <v>10462.174914347228</v>
      </c>
      <c r="AH33" s="19">
        <f t="shared" si="6"/>
        <v>16284.445192135214</v>
      </c>
      <c r="AI33" s="19">
        <f t="shared" si="7"/>
        <v>21776.595242371051</v>
      </c>
      <c r="AJ33" s="19">
        <f t="shared" si="8"/>
        <v>26967.510826230944</v>
      </c>
      <c r="AK33" s="19">
        <f t="shared" si="9"/>
        <v>31880.626832009959</v>
      </c>
      <c r="AL33" s="19">
        <f t="shared" si="10"/>
        <v>36531.541068477251</v>
      </c>
      <c r="AM33" s="19">
        <f t="shared" si="11"/>
        <v>90</v>
      </c>
      <c r="AN33" s="19">
        <f t="shared" si="12"/>
        <v>4078.7176292832996</v>
      </c>
      <c r="AO33" s="19">
        <f t="shared" si="13"/>
        <v>10462.174914347228</v>
      </c>
      <c r="AP33" s="19">
        <f t="shared" si="14"/>
        <v>16284.445192135214</v>
      </c>
      <c r="AQ33" s="19">
        <f t="shared" si="15"/>
        <v>21776.595242371051</v>
      </c>
      <c r="AR33" s="19">
        <f t="shared" si="16"/>
        <v>26967.510826230944</v>
      </c>
      <c r="AS33" s="19">
        <f t="shared" si="17"/>
        <v>31880.626832009959</v>
      </c>
      <c r="AT33" s="19">
        <f t="shared" si="18"/>
        <v>36531.541068477251</v>
      </c>
      <c r="AU33" s="19">
        <f t="shared" si="19"/>
        <v>90</v>
      </c>
      <c r="AV33" s="19">
        <f t="shared" si="20"/>
        <v>4078.7176292832996</v>
      </c>
      <c r="AW33" s="19">
        <f t="shared" si="21"/>
        <v>2180.3172521499628</v>
      </c>
      <c r="AX33" s="19">
        <f t="shared" si="22"/>
        <v>1976.3888314854782</v>
      </c>
      <c r="AY33" s="19">
        <f t="shared" si="23"/>
        <v>6940.2009037436555</v>
      </c>
      <c r="AZ33" s="19">
        <f t="shared" si="24"/>
        <v>3163.2890199168896</v>
      </c>
      <c r="BA33" s="19">
        <f t="shared" si="25"/>
        <v>15122.043993983389</v>
      </c>
      <c r="BB33" s="19">
        <f t="shared" si="26"/>
        <v>8441.2214228894736</v>
      </c>
      <c r="BC33" s="19">
        <f t="shared" si="27"/>
        <v>0</v>
      </c>
      <c r="BD33" s="24">
        <f t="shared" si="28"/>
        <v>338135.40246316209</v>
      </c>
      <c r="BF33" s="19"/>
    </row>
    <row r="34" spans="1:71">
      <c r="B34" s="5">
        <f t="shared" si="33"/>
        <v>2044</v>
      </c>
      <c r="C34" s="80">
        <f>'Project area'!D36</f>
        <v>300</v>
      </c>
      <c r="D34" s="19">
        <f t="shared" si="29"/>
        <v>300</v>
      </c>
      <c r="E34" s="19">
        <f t="shared" si="30"/>
        <v>300</v>
      </c>
      <c r="F34" s="19">
        <f t="shared" si="31"/>
        <v>300</v>
      </c>
      <c r="G34" s="19">
        <f t="shared" si="32"/>
        <v>300</v>
      </c>
      <c r="H34" s="19">
        <f t="shared" si="34"/>
        <v>300</v>
      </c>
      <c r="I34" s="19">
        <f t="shared" si="36"/>
        <v>300</v>
      </c>
      <c r="J34" s="19">
        <f t="shared" si="37"/>
        <v>300</v>
      </c>
      <c r="K34" s="19">
        <f t="shared" si="38"/>
        <v>300</v>
      </c>
      <c r="L34" s="19">
        <f t="shared" si="39"/>
        <v>300</v>
      </c>
      <c r="M34" s="19">
        <f t="shared" si="40"/>
        <v>300</v>
      </c>
      <c r="N34" s="19">
        <f t="shared" si="41"/>
        <v>300</v>
      </c>
      <c r="O34" s="19">
        <f t="shared" si="42"/>
        <v>300</v>
      </c>
      <c r="P34" s="19">
        <f t="shared" si="43"/>
        <v>300</v>
      </c>
      <c r="Q34" s="19">
        <f t="shared" si="44"/>
        <v>300</v>
      </c>
      <c r="R34" s="19">
        <f t="shared" si="45"/>
        <v>300</v>
      </c>
      <c r="S34" s="19">
        <f t="shared" si="46"/>
        <v>300</v>
      </c>
      <c r="T34" s="19">
        <f t="shared" si="47"/>
        <v>300</v>
      </c>
      <c r="U34" s="19">
        <f t="shared" si="48"/>
        <v>300</v>
      </c>
      <c r="V34" s="19">
        <f t="shared" si="49"/>
        <v>62.52</v>
      </c>
      <c r="W34" s="19">
        <f t="shared" si="50"/>
        <v>36.410000000000018</v>
      </c>
      <c r="X34" s="19">
        <f t="shared" si="51"/>
        <v>95.610000000000014</v>
      </c>
      <c r="Y34" s="19">
        <f t="shared" si="52"/>
        <v>35.19</v>
      </c>
      <c r="Z34" s="19">
        <f t="shared" si="53"/>
        <v>142.29999999999998</v>
      </c>
      <c r="AA34" s="19">
        <f t="shared" si="54"/>
        <v>69.319999999999979</v>
      </c>
      <c r="AB34" s="24">
        <f t="shared" si="1"/>
        <v>5798.93</v>
      </c>
      <c r="AD34" s="5">
        <f t="shared" si="35"/>
        <v>2044</v>
      </c>
      <c r="AE34" s="19">
        <f t="shared" si="3"/>
        <v>90</v>
      </c>
      <c r="AF34" s="19">
        <f t="shared" si="4"/>
        <v>4078.7176292832996</v>
      </c>
      <c r="AG34" s="19">
        <f t="shared" si="5"/>
        <v>10462.174914347228</v>
      </c>
      <c r="AH34" s="19">
        <f t="shared" si="6"/>
        <v>16284.445192135214</v>
      </c>
      <c r="AI34" s="19">
        <f t="shared" si="7"/>
        <v>21776.595242371051</v>
      </c>
      <c r="AJ34" s="19">
        <f t="shared" si="8"/>
        <v>26967.510826230944</v>
      </c>
      <c r="AK34" s="19">
        <f t="shared" si="9"/>
        <v>31880.626832009959</v>
      </c>
      <c r="AL34" s="19">
        <f t="shared" si="10"/>
        <v>36531.541068477251</v>
      </c>
      <c r="AM34" s="19">
        <f t="shared" si="11"/>
        <v>90</v>
      </c>
      <c r="AN34" s="19">
        <f t="shared" si="12"/>
        <v>4078.7176292832996</v>
      </c>
      <c r="AO34" s="19">
        <f t="shared" si="13"/>
        <v>10462.174914347228</v>
      </c>
      <c r="AP34" s="19">
        <f t="shared" si="14"/>
        <v>16284.445192135214</v>
      </c>
      <c r="AQ34" s="19">
        <f t="shared" si="15"/>
        <v>21776.595242371051</v>
      </c>
      <c r="AR34" s="19">
        <f t="shared" si="16"/>
        <v>26967.510826230944</v>
      </c>
      <c r="AS34" s="19">
        <f t="shared" si="17"/>
        <v>31880.626832009959</v>
      </c>
      <c r="AT34" s="19">
        <f t="shared" si="18"/>
        <v>36531.541068477251</v>
      </c>
      <c r="AU34" s="19">
        <f t="shared" si="19"/>
        <v>90</v>
      </c>
      <c r="AV34" s="19">
        <f t="shared" si="20"/>
        <v>4078.7176292832996</v>
      </c>
      <c r="AW34" s="19">
        <f t="shared" si="21"/>
        <v>10462.174914347228</v>
      </c>
      <c r="AX34" s="19">
        <f t="shared" si="22"/>
        <v>3393.6783780409787</v>
      </c>
      <c r="AY34" s="19">
        <f t="shared" si="23"/>
        <v>2642.9527759157681</v>
      </c>
      <c r="AZ34" s="19">
        <f t="shared" si="24"/>
        <v>8594.5457003198026</v>
      </c>
      <c r="BA34" s="19">
        <f t="shared" si="25"/>
        <v>3739.5975273947683</v>
      </c>
      <c r="BB34" s="19">
        <f t="shared" si="26"/>
        <v>17328.127646814373</v>
      </c>
      <c r="BC34" s="19">
        <f t="shared" si="27"/>
        <v>0</v>
      </c>
      <c r="BD34" s="24">
        <f t="shared" si="28"/>
        <v>346473.01798182615</v>
      </c>
      <c r="BF34" s="19"/>
    </row>
    <row r="35" spans="1:71">
      <c r="B35" s="5">
        <f t="shared" si="33"/>
        <v>2045</v>
      </c>
      <c r="C35" s="80">
        <f>'Project area'!D37</f>
        <v>300</v>
      </c>
      <c r="D35" s="19">
        <f t="shared" si="29"/>
        <v>300</v>
      </c>
      <c r="E35" s="19">
        <f t="shared" si="30"/>
        <v>300</v>
      </c>
      <c r="F35" s="19">
        <f t="shared" si="31"/>
        <v>300</v>
      </c>
      <c r="G35" s="19">
        <f t="shared" si="32"/>
        <v>300</v>
      </c>
      <c r="H35" s="19">
        <f t="shared" si="34"/>
        <v>300</v>
      </c>
      <c r="I35" s="19">
        <f t="shared" si="36"/>
        <v>300</v>
      </c>
      <c r="J35" s="19">
        <f t="shared" si="37"/>
        <v>300</v>
      </c>
      <c r="K35" s="19">
        <f t="shared" si="38"/>
        <v>300</v>
      </c>
      <c r="L35" s="19">
        <f t="shared" si="39"/>
        <v>300</v>
      </c>
      <c r="M35" s="19">
        <f t="shared" si="40"/>
        <v>300</v>
      </c>
      <c r="N35" s="19">
        <f t="shared" si="41"/>
        <v>300</v>
      </c>
      <c r="O35" s="19">
        <f t="shared" si="42"/>
        <v>300</v>
      </c>
      <c r="P35" s="19">
        <f t="shared" si="43"/>
        <v>300</v>
      </c>
      <c r="Q35" s="19">
        <f t="shared" si="44"/>
        <v>300</v>
      </c>
      <c r="R35" s="19">
        <f t="shared" si="45"/>
        <v>300</v>
      </c>
      <c r="S35" s="19">
        <f t="shared" si="46"/>
        <v>300</v>
      </c>
      <c r="T35" s="19">
        <f t="shared" si="47"/>
        <v>300</v>
      </c>
      <c r="U35" s="19">
        <f t="shared" si="48"/>
        <v>300</v>
      </c>
      <c r="V35" s="19">
        <f t="shared" si="49"/>
        <v>300</v>
      </c>
      <c r="W35" s="19">
        <f t="shared" si="50"/>
        <v>62.52</v>
      </c>
      <c r="X35" s="19">
        <f t="shared" si="51"/>
        <v>36.410000000000018</v>
      </c>
      <c r="Y35" s="19">
        <f t="shared" si="52"/>
        <v>95.610000000000014</v>
      </c>
      <c r="Z35" s="19">
        <f t="shared" si="53"/>
        <v>35.19</v>
      </c>
      <c r="AA35" s="19">
        <f t="shared" si="54"/>
        <v>142.29999999999998</v>
      </c>
      <c r="AB35" s="24">
        <f t="shared" si="1"/>
        <v>6062.52</v>
      </c>
      <c r="AD35" s="5">
        <f t="shared" si="35"/>
        <v>2045</v>
      </c>
      <c r="AE35" s="19">
        <f t="shared" si="3"/>
        <v>90</v>
      </c>
      <c r="AF35" s="19">
        <f t="shared" si="4"/>
        <v>4078.7176292832996</v>
      </c>
      <c r="AG35" s="19">
        <f t="shared" si="5"/>
        <v>10462.174914347228</v>
      </c>
      <c r="AH35" s="19">
        <f t="shared" si="6"/>
        <v>16284.445192135214</v>
      </c>
      <c r="AI35" s="19">
        <f t="shared" si="7"/>
        <v>21776.595242371051</v>
      </c>
      <c r="AJ35" s="19">
        <f t="shared" si="8"/>
        <v>26967.510826230944</v>
      </c>
      <c r="AK35" s="19">
        <f t="shared" si="9"/>
        <v>31880.626832009959</v>
      </c>
      <c r="AL35" s="19">
        <f t="shared" si="10"/>
        <v>36531.541068477251</v>
      </c>
      <c r="AM35" s="19">
        <f t="shared" si="11"/>
        <v>90</v>
      </c>
      <c r="AN35" s="19">
        <f t="shared" si="12"/>
        <v>4078.7176292832996</v>
      </c>
      <c r="AO35" s="19">
        <f t="shared" si="13"/>
        <v>10462.174914347228</v>
      </c>
      <c r="AP35" s="19">
        <f t="shared" si="14"/>
        <v>16284.445192135214</v>
      </c>
      <c r="AQ35" s="19">
        <f t="shared" si="15"/>
        <v>21776.595242371051</v>
      </c>
      <c r="AR35" s="19">
        <f t="shared" si="16"/>
        <v>26967.510826230944</v>
      </c>
      <c r="AS35" s="19">
        <f t="shared" si="17"/>
        <v>31880.626832009959</v>
      </c>
      <c r="AT35" s="19">
        <f t="shared" si="18"/>
        <v>36531.541068477251</v>
      </c>
      <c r="AU35" s="19">
        <f t="shared" si="19"/>
        <v>90</v>
      </c>
      <c r="AV35" s="19">
        <f t="shared" si="20"/>
        <v>4078.7176292832996</v>
      </c>
      <c r="AW35" s="19">
        <f t="shared" si="21"/>
        <v>10462.174914347228</v>
      </c>
      <c r="AX35" s="19">
        <f t="shared" si="22"/>
        <v>16284.445192135214</v>
      </c>
      <c r="AY35" s="19">
        <f t="shared" si="23"/>
        <v>4538.2424485101274</v>
      </c>
      <c r="AZ35" s="19">
        <f t="shared" si="24"/>
        <v>3272.9568972768975</v>
      </c>
      <c r="BA35" s="19">
        <f t="shared" si="25"/>
        <v>10160.355771361576</v>
      </c>
      <c r="BB35" s="19">
        <f t="shared" si="26"/>
        <v>4285.1497673323811</v>
      </c>
      <c r="BC35" s="19">
        <f t="shared" si="27"/>
        <v>0</v>
      </c>
      <c r="BD35" s="24">
        <f t="shared" si="28"/>
        <v>349315.26602995663</v>
      </c>
      <c r="BF35" s="19"/>
    </row>
    <row r="36" spans="1:71">
      <c r="B36" s="73">
        <f>B35+1</f>
        <v>2046</v>
      </c>
      <c r="C36" s="81">
        <f>'Project area'!D38</f>
        <v>300</v>
      </c>
      <c r="D36" s="23">
        <f t="shared" si="29"/>
        <v>300</v>
      </c>
      <c r="E36" s="23">
        <f t="shared" si="30"/>
        <v>300</v>
      </c>
      <c r="F36" s="23">
        <f t="shared" si="31"/>
        <v>300</v>
      </c>
      <c r="G36" s="23">
        <f t="shared" si="32"/>
        <v>300</v>
      </c>
      <c r="H36" s="23">
        <f t="shared" si="34"/>
        <v>300</v>
      </c>
      <c r="I36" s="23">
        <f t="shared" si="36"/>
        <v>300</v>
      </c>
      <c r="J36" s="23">
        <f t="shared" si="37"/>
        <v>300</v>
      </c>
      <c r="K36" s="23">
        <f t="shared" si="38"/>
        <v>300</v>
      </c>
      <c r="L36" s="23">
        <f t="shared" si="39"/>
        <v>300</v>
      </c>
      <c r="M36" s="23">
        <f t="shared" si="40"/>
        <v>300</v>
      </c>
      <c r="N36" s="23">
        <f t="shared" si="41"/>
        <v>300</v>
      </c>
      <c r="O36" s="23">
        <f t="shared" si="42"/>
        <v>300</v>
      </c>
      <c r="P36" s="23">
        <f t="shared" si="43"/>
        <v>300</v>
      </c>
      <c r="Q36" s="23">
        <f t="shared" si="44"/>
        <v>300</v>
      </c>
      <c r="R36" s="23">
        <f t="shared" si="45"/>
        <v>300</v>
      </c>
      <c r="S36" s="23">
        <f t="shared" si="46"/>
        <v>300</v>
      </c>
      <c r="T36" s="23">
        <f t="shared" si="47"/>
        <v>300</v>
      </c>
      <c r="U36" s="23">
        <f t="shared" si="48"/>
        <v>300</v>
      </c>
      <c r="V36" s="23">
        <f t="shared" si="49"/>
        <v>300</v>
      </c>
      <c r="W36" s="23">
        <f t="shared" si="50"/>
        <v>300</v>
      </c>
      <c r="X36" s="23">
        <f t="shared" si="51"/>
        <v>62.52</v>
      </c>
      <c r="Y36" s="23">
        <f t="shared" si="52"/>
        <v>36.410000000000018</v>
      </c>
      <c r="Z36" s="23">
        <f t="shared" si="53"/>
        <v>95.610000000000014</v>
      </c>
      <c r="AA36" s="23">
        <f t="shared" si="54"/>
        <v>35.19</v>
      </c>
      <c r="AB36" s="63">
        <f t="shared" si="1"/>
        <v>6300</v>
      </c>
      <c r="AD36" s="5">
        <f>AD35+1</f>
        <v>2046</v>
      </c>
      <c r="AE36" s="19">
        <f t="shared" si="3"/>
        <v>90</v>
      </c>
      <c r="AF36" s="19">
        <f t="shared" si="4"/>
        <v>4078.7176292832996</v>
      </c>
      <c r="AG36" s="19">
        <f t="shared" si="5"/>
        <v>10462.174914347228</v>
      </c>
      <c r="AH36" s="19">
        <f t="shared" si="6"/>
        <v>16284.445192135214</v>
      </c>
      <c r="AI36" s="19">
        <f t="shared" si="7"/>
        <v>21776.595242371051</v>
      </c>
      <c r="AJ36" s="19">
        <f t="shared" si="8"/>
        <v>26967.510826230944</v>
      </c>
      <c r="AK36" s="19">
        <f t="shared" si="9"/>
        <v>31880.626832009959</v>
      </c>
      <c r="AL36" s="19">
        <f t="shared" si="10"/>
        <v>36531.541068477251</v>
      </c>
      <c r="AM36" s="19">
        <f t="shared" si="11"/>
        <v>90</v>
      </c>
      <c r="AN36" s="19">
        <f t="shared" si="12"/>
        <v>4078.7176292832996</v>
      </c>
      <c r="AO36" s="19">
        <f t="shared" si="13"/>
        <v>10462.174914347228</v>
      </c>
      <c r="AP36" s="19">
        <f t="shared" si="14"/>
        <v>16284.445192135214</v>
      </c>
      <c r="AQ36" s="19">
        <f t="shared" si="15"/>
        <v>21776.595242371051</v>
      </c>
      <c r="AR36" s="19">
        <f t="shared" si="16"/>
        <v>26967.510826230944</v>
      </c>
      <c r="AS36" s="19">
        <f t="shared" si="17"/>
        <v>31880.626832009959</v>
      </c>
      <c r="AT36" s="19">
        <f t="shared" si="18"/>
        <v>36531.541068477251</v>
      </c>
      <c r="AU36" s="19">
        <f t="shared" si="19"/>
        <v>90</v>
      </c>
      <c r="AV36" s="19">
        <f t="shared" si="20"/>
        <v>4078.7176292832996</v>
      </c>
      <c r="AW36" s="19">
        <f t="shared" si="21"/>
        <v>10462.174914347228</v>
      </c>
      <c r="AX36" s="19">
        <f t="shared" si="22"/>
        <v>16284.445192135214</v>
      </c>
      <c r="AY36" s="19">
        <f t="shared" si="23"/>
        <v>21776.595242371051</v>
      </c>
      <c r="AZ36" s="19">
        <f t="shared" si="24"/>
        <v>5620.029256186529</v>
      </c>
      <c r="BA36" s="19">
        <f t="shared" si="25"/>
        <v>3869.2454098449443</v>
      </c>
      <c r="BB36" s="19">
        <f t="shared" si="26"/>
        <v>11642.6021385237</v>
      </c>
      <c r="BC36" s="19">
        <f t="shared" si="27"/>
        <v>0</v>
      </c>
      <c r="BD36" s="24">
        <f t="shared" si="28"/>
        <v>369967.03319240187</v>
      </c>
      <c r="BF36" s="19"/>
    </row>
    <row r="37" spans="1:71">
      <c r="M37" s="19"/>
      <c r="P37"/>
      <c r="AB37" s="53"/>
      <c r="AD37" s="90" t="s">
        <v>185</v>
      </c>
      <c r="AE37" s="62">
        <v>0.3</v>
      </c>
      <c r="AF37" s="62">
        <v>13.595725430944333</v>
      </c>
      <c r="AG37" s="62">
        <v>34.873916381157429</v>
      </c>
      <c r="AH37" s="62">
        <v>54.281483973784049</v>
      </c>
      <c r="AI37" s="62">
        <v>72.588650807903505</v>
      </c>
      <c r="AJ37" s="62">
        <v>89.89170275410315</v>
      </c>
      <c r="AK37" s="62">
        <v>106.26875610669987</v>
      </c>
      <c r="AL37" s="62">
        <v>121.77180356159083</v>
      </c>
      <c r="AM37" s="62">
        <f>AE37</f>
        <v>0.3</v>
      </c>
      <c r="AN37" s="62">
        <f t="shared" ref="AN37:AY37" si="55">AF37</f>
        <v>13.595725430944333</v>
      </c>
      <c r="AO37" s="62">
        <f t="shared" si="55"/>
        <v>34.873916381157429</v>
      </c>
      <c r="AP37" s="62">
        <f t="shared" si="55"/>
        <v>54.281483973784049</v>
      </c>
      <c r="AQ37" s="62">
        <f t="shared" si="55"/>
        <v>72.588650807903505</v>
      </c>
      <c r="AR37" s="62">
        <f t="shared" si="55"/>
        <v>89.89170275410315</v>
      </c>
      <c r="AS37" s="62">
        <f t="shared" si="55"/>
        <v>106.26875610669987</v>
      </c>
      <c r="AT37" s="62">
        <f t="shared" si="55"/>
        <v>121.77180356159083</v>
      </c>
      <c r="AU37" s="62">
        <f t="shared" si="55"/>
        <v>0.3</v>
      </c>
      <c r="AV37" s="62">
        <f t="shared" si="55"/>
        <v>13.595725430944333</v>
      </c>
      <c r="AW37" s="62">
        <f t="shared" si="55"/>
        <v>34.873916381157429</v>
      </c>
      <c r="AX37" s="62">
        <f t="shared" si="55"/>
        <v>54.281483973784049</v>
      </c>
      <c r="AY37" s="62">
        <f t="shared" si="55"/>
        <v>72.588650807903505</v>
      </c>
      <c r="AZ37" s="62">
        <f t="shared" ref="AZ37" si="56">AR37</f>
        <v>89.89170275410315</v>
      </c>
      <c r="BA37" s="62">
        <f t="shared" ref="BA37" si="57">AS37</f>
        <v>106.26875610669987</v>
      </c>
      <c r="BB37" s="62">
        <f t="shared" ref="BB37" si="58">AT37</f>
        <v>121.77180356159083</v>
      </c>
      <c r="BC37" s="62"/>
      <c r="BD37" s="9"/>
    </row>
    <row r="40" spans="1:71" ht="18.45">
      <c r="A40" s="14" t="s">
        <v>28</v>
      </c>
      <c r="B40" s="67"/>
    </row>
    <row r="41" spans="1:71" ht="18.45">
      <c r="A41" s="15"/>
      <c r="B41" s="58" t="s">
        <v>14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5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J41" s="17" t="s">
        <v>34</v>
      </c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</row>
    <row r="43" spans="1:71">
      <c r="B43" s="55" t="s">
        <v>5</v>
      </c>
      <c r="C43" s="68" t="s">
        <v>15</v>
      </c>
      <c r="D43" s="68" t="s">
        <v>16</v>
      </c>
      <c r="E43" s="68" t="s">
        <v>17</v>
      </c>
      <c r="F43" s="68" t="s">
        <v>18</v>
      </c>
      <c r="G43" s="68" t="s">
        <v>19</v>
      </c>
      <c r="H43" s="68" t="s">
        <v>20</v>
      </c>
      <c r="I43" s="68" t="s">
        <v>21</v>
      </c>
      <c r="J43" s="68" t="s">
        <v>22</v>
      </c>
      <c r="K43" s="68" t="s">
        <v>23</v>
      </c>
      <c r="L43" s="69" t="s">
        <v>24</v>
      </c>
      <c r="M43" s="69" t="s">
        <v>25</v>
      </c>
      <c r="N43" s="69" t="s">
        <v>29</v>
      </c>
      <c r="O43" s="69" t="s">
        <v>30</v>
      </c>
      <c r="P43" s="69" t="s">
        <v>31</v>
      </c>
      <c r="Q43" s="69" t="s">
        <v>187</v>
      </c>
      <c r="R43" s="69" t="s">
        <v>188</v>
      </c>
      <c r="S43" s="69" t="s">
        <v>32</v>
      </c>
      <c r="T43" s="69" t="s">
        <v>33</v>
      </c>
      <c r="U43" s="69" t="s">
        <v>189</v>
      </c>
      <c r="V43" s="69" t="s">
        <v>190</v>
      </c>
      <c r="W43" s="69" t="s">
        <v>191</v>
      </c>
      <c r="X43" s="69" t="s">
        <v>192</v>
      </c>
      <c r="Y43" s="69" t="s">
        <v>193</v>
      </c>
      <c r="Z43" s="69" t="s">
        <v>194</v>
      </c>
      <c r="AA43" s="69" t="s">
        <v>195</v>
      </c>
      <c r="AB43" s="69" t="s">
        <v>196</v>
      </c>
      <c r="AC43" s="69" t="s">
        <v>197</v>
      </c>
      <c r="AD43" s="69" t="s">
        <v>198</v>
      </c>
      <c r="AE43" s="69" t="s">
        <v>199</v>
      </c>
      <c r="AF43" s="69" t="s">
        <v>200</v>
      </c>
      <c r="AG43" s="69" t="s">
        <v>201</v>
      </c>
      <c r="AH43" s="70" t="s">
        <v>26</v>
      </c>
      <c r="AI43" s="6"/>
      <c r="AJ43" s="68" t="s">
        <v>5</v>
      </c>
      <c r="AK43" s="68" t="s">
        <v>15</v>
      </c>
      <c r="AL43" s="68" t="s">
        <v>16</v>
      </c>
      <c r="AM43" s="68" t="s">
        <v>17</v>
      </c>
      <c r="AN43" s="68" t="s">
        <v>18</v>
      </c>
      <c r="AO43" s="68" t="s">
        <v>19</v>
      </c>
      <c r="AP43" s="68" t="s">
        <v>20</v>
      </c>
      <c r="AQ43" s="68" t="s">
        <v>21</v>
      </c>
      <c r="AR43" s="68" t="s">
        <v>22</v>
      </c>
      <c r="AS43" s="68" t="s">
        <v>23</v>
      </c>
      <c r="AT43" s="69" t="s">
        <v>24</v>
      </c>
      <c r="AU43" s="69" t="s">
        <v>25</v>
      </c>
      <c r="AV43" s="69" t="s">
        <v>29</v>
      </c>
      <c r="AW43" s="69" t="s">
        <v>30</v>
      </c>
      <c r="AX43" s="69" t="s">
        <v>31</v>
      </c>
      <c r="AY43" s="69" t="s">
        <v>187</v>
      </c>
      <c r="AZ43" s="69" t="s">
        <v>188</v>
      </c>
      <c r="BA43" s="69" t="s">
        <v>32</v>
      </c>
      <c r="BB43" s="69" t="s">
        <v>33</v>
      </c>
      <c r="BC43" s="69" t="s">
        <v>189</v>
      </c>
      <c r="BD43" s="69" t="s">
        <v>190</v>
      </c>
      <c r="BE43" s="69" t="s">
        <v>191</v>
      </c>
      <c r="BF43" s="69" t="s">
        <v>192</v>
      </c>
      <c r="BG43" s="69" t="s">
        <v>193</v>
      </c>
      <c r="BH43" s="69" t="s">
        <v>194</v>
      </c>
      <c r="BI43" s="69" t="s">
        <v>195</v>
      </c>
      <c r="BJ43" s="69" t="s">
        <v>196</v>
      </c>
      <c r="BK43" s="69" t="s">
        <v>197</v>
      </c>
      <c r="BL43" s="69" t="s">
        <v>198</v>
      </c>
      <c r="BM43" s="69" t="s">
        <v>199</v>
      </c>
      <c r="BN43" s="69" t="s">
        <v>200</v>
      </c>
      <c r="BO43" s="69" t="s">
        <v>201</v>
      </c>
      <c r="BP43" s="91" t="s">
        <v>26</v>
      </c>
      <c r="BQ43" s="42"/>
      <c r="BS43" s="3"/>
    </row>
    <row r="44" spans="1:71">
      <c r="B44" s="5">
        <v>2017</v>
      </c>
      <c r="C44" s="32">
        <f>'Project area'!E9</f>
        <v>86.79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8"/>
      <c r="O44" s="18"/>
      <c r="P44" s="85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4">
        <f>SUM(C44:AG44)</f>
        <v>86.79</v>
      </c>
      <c r="AI44" s="19"/>
      <c r="AJ44" s="5">
        <v>2017</v>
      </c>
      <c r="AK44" s="19">
        <f t="shared" ref="AK44:AK73" si="59">C44*AK$74</f>
        <v>825.67613856113906</v>
      </c>
      <c r="AL44" s="19">
        <f t="shared" ref="AL44:AL73" si="60">D44*AL$74</f>
        <v>0</v>
      </c>
      <c r="AM44" s="19">
        <f t="shared" ref="AM44:AM73" si="61">E44*AM$74</f>
        <v>0</v>
      </c>
      <c r="AN44" s="19">
        <f t="shared" ref="AN44:AN73" si="62">F44*AN$74</f>
        <v>0</v>
      </c>
      <c r="AO44" s="19">
        <f t="shared" ref="AO44:AO73" si="63">G44*AO$74</f>
        <v>0</v>
      </c>
      <c r="AP44" s="19">
        <f t="shared" ref="AP44:AP73" si="64">H44*AP$74</f>
        <v>0</v>
      </c>
      <c r="AQ44" s="19">
        <f t="shared" ref="AQ44:AQ73" si="65">I44*AQ$74</f>
        <v>0</v>
      </c>
      <c r="AR44" s="19">
        <f t="shared" ref="AR44:AR73" si="66">J44*AR$74</f>
        <v>0</v>
      </c>
      <c r="AS44" s="19">
        <f t="shared" ref="AS44:AS73" si="67">K44*AS$74</f>
        <v>0</v>
      </c>
      <c r="AT44" s="19">
        <f t="shared" ref="AT44:AT73" si="68">L44*AT$74</f>
        <v>0</v>
      </c>
      <c r="AU44" s="19">
        <f t="shared" ref="AU44:AU73" si="69">M44*AU$74</f>
        <v>0</v>
      </c>
      <c r="AV44" s="19">
        <f t="shared" ref="AV44:AV73" si="70">N44*AV$74</f>
        <v>0</v>
      </c>
      <c r="AW44" s="19">
        <f t="shared" ref="AW44:AW73" si="71">O44*AW$74</f>
        <v>0</v>
      </c>
      <c r="AX44" s="19">
        <f t="shared" ref="AX44:AX73" si="72">P44*AX$74</f>
        <v>0</v>
      </c>
      <c r="AY44" s="19">
        <f t="shared" ref="AY44:AY73" si="73">Q44*AY$74</f>
        <v>0</v>
      </c>
      <c r="AZ44" s="19">
        <f t="shared" ref="AZ44:AZ73" si="74">R44*AZ$74</f>
        <v>0</v>
      </c>
      <c r="BA44" s="19">
        <f t="shared" ref="BA44:BL59" si="75">S44*BA$74</f>
        <v>0</v>
      </c>
      <c r="BB44" s="19">
        <f t="shared" si="75"/>
        <v>0</v>
      </c>
      <c r="BC44" s="19">
        <f t="shared" si="75"/>
        <v>0</v>
      </c>
      <c r="BD44" s="19">
        <f t="shared" si="75"/>
        <v>0</v>
      </c>
      <c r="BE44" s="19">
        <f t="shared" si="75"/>
        <v>0</v>
      </c>
      <c r="BF44" s="19">
        <f t="shared" si="75"/>
        <v>0</v>
      </c>
      <c r="BG44" s="19">
        <f t="shared" si="75"/>
        <v>0</v>
      </c>
      <c r="BH44" s="19">
        <f t="shared" si="75"/>
        <v>0</v>
      </c>
      <c r="BI44" s="19">
        <f t="shared" si="75"/>
        <v>0</v>
      </c>
      <c r="BJ44" s="19">
        <f t="shared" si="75"/>
        <v>0</v>
      </c>
      <c r="BK44" s="19">
        <f t="shared" si="75"/>
        <v>0</v>
      </c>
      <c r="BL44" s="19">
        <f t="shared" si="75"/>
        <v>0</v>
      </c>
      <c r="BM44" s="19">
        <f t="shared" ref="BM44:BM73" si="76">AE44*BM$74</f>
        <v>0</v>
      </c>
      <c r="BN44" s="19">
        <f t="shared" ref="BN44:BN73" si="77">AF44*BN$74</f>
        <v>0</v>
      </c>
      <c r="BO44" s="19">
        <f t="shared" ref="BO44:BO73" si="78">AG44*BO$74</f>
        <v>0</v>
      </c>
      <c r="BP44" s="92">
        <f>SUM(AK44:BO44)</f>
        <v>825.67613856113906</v>
      </c>
      <c r="BR44" s="6"/>
    </row>
    <row r="45" spans="1:71">
      <c r="B45" s="5">
        <v>2018</v>
      </c>
      <c r="C45" s="32">
        <f>'Project area'!E10</f>
        <v>107.65</v>
      </c>
      <c r="D45" s="19">
        <f>C44</f>
        <v>86.79</v>
      </c>
      <c r="E45" s="19"/>
      <c r="F45" s="19"/>
      <c r="G45" s="19"/>
      <c r="H45" s="19"/>
      <c r="I45" s="19"/>
      <c r="J45" s="19"/>
      <c r="K45" s="19"/>
      <c r="L45" s="19"/>
      <c r="M45" s="19"/>
      <c r="N45" s="18"/>
      <c r="O45" s="18"/>
      <c r="P45" s="85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4">
        <f t="shared" ref="AH45:AH73" si="79">SUM(C45:AG45)</f>
        <v>194.44</v>
      </c>
      <c r="AI45" s="19"/>
      <c r="AJ45" s="5">
        <v>2018</v>
      </c>
      <c r="AK45" s="19">
        <f t="shared" si="59"/>
        <v>1024.1276220314162</v>
      </c>
      <c r="AL45" s="19">
        <f t="shared" si="60"/>
        <v>888.60387651295559</v>
      </c>
      <c r="AM45" s="19">
        <f t="shared" si="61"/>
        <v>0</v>
      </c>
      <c r="AN45" s="19">
        <f t="shared" si="62"/>
        <v>0</v>
      </c>
      <c r="AO45" s="19">
        <f t="shared" si="63"/>
        <v>0</v>
      </c>
      <c r="AP45" s="19">
        <f t="shared" si="64"/>
        <v>0</v>
      </c>
      <c r="AQ45" s="19">
        <f t="shared" si="65"/>
        <v>0</v>
      </c>
      <c r="AR45" s="19">
        <f t="shared" si="66"/>
        <v>0</v>
      </c>
      <c r="AS45" s="19">
        <f t="shared" si="67"/>
        <v>0</v>
      </c>
      <c r="AT45" s="19">
        <f t="shared" si="68"/>
        <v>0</v>
      </c>
      <c r="AU45" s="19">
        <f t="shared" si="69"/>
        <v>0</v>
      </c>
      <c r="AV45" s="19">
        <f t="shared" si="70"/>
        <v>0</v>
      </c>
      <c r="AW45" s="19">
        <f t="shared" si="71"/>
        <v>0</v>
      </c>
      <c r="AX45" s="19">
        <f t="shared" si="72"/>
        <v>0</v>
      </c>
      <c r="AY45" s="19">
        <f t="shared" si="73"/>
        <v>0</v>
      </c>
      <c r="AZ45" s="19">
        <f t="shared" si="74"/>
        <v>0</v>
      </c>
      <c r="BA45" s="19">
        <f t="shared" si="75"/>
        <v>0</v>
      </c>
      <c r="BB45" s="19">
        <f t="shared" si="75"/>
        <v>0</v>
      </c>
      <c r="BC45" s="19">
        <f t="shared" si="75"/>
        <v>0</v>
      </c>
      <c r="BD45" s="19">
        <f t="shared" si="75"/>
        <v>0</v>
      </c>
      <c r="BE45" s="19">
        <f t="shared" si="75"/>
        <v>0</v>
      </c>
      <c r="BF45" s="19">
        <f t="shared" si="75"/>
        <v>0</v>
      </c>
      <c r="BG45" s="19">
        <f t="shared" si="75"/>
        <v>0</v>
      </c>
      <c r="BH45" s="19">
        <f t="shared" si="75"/>
        <v>0</v>
      </c>
      <c r="BI45" s="19">
        <f t="shared" si="75"/>
        <v>0</v>
      </c>
      <c r="BJ45" s="19">
        <f t="shared" si="75"/>
        <v>0</v>
      </c>
      <c r="BK45" s="19">
        <f t="shared" si="75"/>
        <v>0</v>
      </c>
      <c r="BL45" s="19">
        <f t="shared" si="75"/>
        <v>0</v>
      </c>
      <c r="BM45" s="19">
        <f t="shared" si="76"/>
        <v>0</v>
      </c>
      <c r="BN45" s="19">
        <f t="shared" si="77"/>
        <v>0</v>
      </c>
      <c r="BO45" s="19">
        <f t="shared" si="78"/>
        <v>0</v>
      </c>
      <c r="BP45" s="24">
        <f t="shared" ref="BP45:BP73" si="80">SUM(AK45:BO45)</f>
        <v>1912.7314985443718</v>
      </c>
      <c r="BR45" s="6"/>
    </row>
    <row r="46" spans="1:71">
      <c r="B46" s="5">
        <v>2019</v>
      </c>
      <c r="C46" s="32">
        <f>'Project area'!E11</f>
        <v>1.18</v>
      </c>
      <c r="D46" s="19">
        <f t="shared" ref="D46:D73" si="81">C45</f>
        <v>107.65</v>
      </c>
      <c r="E46" s="19">
        <f>C44</f>
        <v>86.79</v>
      </c>
      <c r="F46" s="19"/>
      <c r="G46" s="19"/>
      <c r="H46" s="19"/>
      <c r="I46" s="19"/>
      <c r="J46" s="19"/>
      <c r="K46" s="19"/>
      <c r="L46" s="19"/>
      <c r="M46" s="19"/>
      <c r="N46" s="18"/>
      <c r="O46" s="18"/>
      <c r="P46" s="85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4">
        <f t="shared" si="79"/>
        <v>195.62</v>
      </c>
      <c r="AI46" s="19"/>
      <c r="AJ46" s="5">
        <v>2019</v>
      </c>
      <c r="AK46" s="19">
        <f t="shared" si="59"/>
        <v>11.225922842518077</v>
      </c>
      <c r="AL46" s="19">
        <f t="shared" si="60"/>
        <v>1102.1800588388026</v>
      </c>
      <c r="AM46" s="19">
        <f t="shared" si="61"/>
        <v>1109.0108893369331</v>
      </c>
      <c r="AN46" s="19">
        <f t="shared" si="62"/>
        <v>0</v>
      </c>
      <c r="AO46" s="19">
        <f t="shared" si="63"/>
        <v>0</v>
      </c>
      <c r="AP46" s="19">
        <f t="shared" si="64"/>
        <v>0</v>
      </c>
      <c r="AQ46" s="19">
        <f t="shared" si="65"/>
        <v>0</v>
      </c>
      <c r="AR46" s="19">
        <f t="shared" si="66"/>
        <v>0</v>
      </c>
      <c r="AS46" s="19">
        <f t="shared" si="67"/>
        <v>0</v>
      </c>
      <c r="AT46" s="19">
        <f t="shared" si="68"/>
        <v>0</v>
      </c>
      <c r="AU46" s="19">
        <f t="shared" si="69"/>
        <v>0</v>
      </c>
      <c r="AV46" s="19">
        <f t="shared" si="70"/>
        <v>0</v>
      </c>
      <c r="AW46" s="19">
        <f t="shared" si="71"/>
        <v>0</v>
      </c>
      <c r="AX46" s="19">
        <f t="shared" si="72"/>
        <v>0</v>
      </c>
      <c r="AY46" s="19">
        <f t="shared" si="73"/>
        <v>0</v>
      </c>
      <c r="AZ46" s="19">
        <f t="shared" si="74"/>
        <v>0</v>
      </c>
      <c r="BA46" s="19">
        <f t="shared" si="75"/>
        <v>0</v>
      </c>
      <c r="BB46" s="19">
        <f t="shared" si="75"/>
        <v>0</v>
      </c>
      <c r="BC46" s="19">
        <f t="shared" si="75"/>
        <v>0</v>
      </c>
      <c r="BD46" s="19">
        <f t="shared" si="75"/>
        <v>0</v>
      </c>
      <c r="BE46" s="19">
        <f t="shared" si="75"/>
        <v>0</v>
      </c>
      <c r="BF46" s="19">
        <f t="shared" si="75"/>
        <v>0</v>
      </c>
      <c r="BG46" s="19">
        <f t="shared" si="75"/>
        <v>0</v>
      </c>
      <c r="BH46" s="19">
        <f t="shared" si="75"/>
        <v>0</v>
      </c>
      <c r="BI46" s="19">
        <f t="shared" si="75"/>
        <v>0</v>
      </c>
      <c r="BJ46" s="19">
        <f t="shared" si="75"/>
        <v>0</v>
      </c>
      <c r="BK46" s="19">
        <f t="shared" si="75"/>
        <v>0</v>
      </c>
      <c r="BL46" s="19">
        <f t="shared" si="75"/>
        <v>0</v>
      </c>
      <c r="BM46" s="19">
        <f t="shared" si="76"/>
        <v>0</v>
      </c>
      <c r="BN46" s="19">
        <f t="shared" si="77"/>
        <v>0</v>
      </c>
      <c r="BO46" s="19">
        <f t="shared" si="78"/>
        <v>0</v>
      </c>
      <c r="BP46" s="24">
        <f t="shared" si="80"/>
        <v>2222.4168710182539</v>
      </c>
      <c r="BR46" s="6"/>
    </row>
    <row r="47" spans="1:71">
      <c r="B47" s="5">
        <v>2020</v>
      </c>
      <c r="C47" s="32">
        <f>'Project area'!E12</f>
        <v>41.86</v>
      </c>
      <c r="D47" s="19">
        <f t="shared" si="81"/>
        <v>1.18</v>
      </c>
      <c r="E47" s="19">
        <f t="shared" ref="E47:E73" si="82">C45</f>
        <v>107.65</v>
      </c>
      <c r="F47" s="19">
        <f>C44</f>
        <v>86.79</v>
      </c>
      <c r="G47" s="19"/>
      <c r="H47" s="19"/>
      <c r="I47" s="19"/>
      <c r="J47" s="19"/>
      <c r="K47" s="19"/>
      <c r="L47" s="19"/>
      <c r="M47" s="19"/>
      <c r="N47" s="18"/>
      <c r="O47" s="18"/>
      <c r="P47" s="85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4">
        <f t="shared" si="79"/>
        <v>237.48000000000002</v>
      </c>
      <c r="AI47" s="19"/>
      <c r="AJ47" s="5">
        <v>2020</v>
      </c>
      <c r="AK47" s="19">
        <f t="shared" si="59"/>
        <v>398.23485609136168</v>
      </c>
      <c r="AL47" s="19">
        <f t="shared" si="60"/>
        <v>12.081490658892585</v>
      </c>
      <c r="AM47" s="19">
        <f t="shared" si="61"/>
        <v>1375.5619568743041</v>
      </c>
      <c r="AN47" s="19">
        <f t="shared" si="62"/>
        <v>1504.916126618084</v>
      </c>
      <c r="AO47" s="19">
        <f t="shared" si="63"/>
        <v>0</v>
      </c>
      <c r="AP47" s="19">
        <f t="shared" si="64"/>
        <v>0</v>
      </c>
      <c r="AQ47" s="19">
        <f t="shared" si="65"/>
        <v>0</v>
      </c>
      <c r="AR47" s="19">
        <f t="shared" si="66"/>
        <v>0</v>
      </c>
      <c r="AS47" s="19">
        <f t="shared" si="67"/>
        <v>0</v>
      </c>
      <c r="AT47" s="19">
        <f t="shared" si="68"/>
        <v>0</v>
      </c>
      <c r="AU47" s="19">
        <f t="shared" si="69"/>
        <v>0</v>
      </c>
      <c r="AV47" s="19">
        <f t="shared" si="70"/>
        <v>0</v>
      </c>
      <c r="AW47" s="19">
        <f t="shared" si="71"/>
        <v>0</v>
      </c>
      <c r="AX47" s="19">
        <f t="shared" si="72"/>
        <v>0</v>
      </c>
      <c r="AY47" s="19">
        <f t="shared" si="73"/>
        <v>0</v>
      </c>
      <c r="AZ47" s="19">
        <f t="shared" si="74"/>
        <v>0</v>
      </c>
      <c r="BA47" s="19">
        <f t="shared" si="75"/>
        <v>0</v>
      </c>
      <c r="BB47" s="19">
        <f t="shared" si="75"/>
        <v>0</v>
      </c>
      <c r="BC47" s="19">
        <f t="shared" si="75"/>
        <v>0</v>
      </c>
      <c r="BD47" s="19">
        <f t="shared" si="75"/>
        <v>0</v>
      </c>
      <c r="BE47" s="19">
        <f t="shared" si="75"/>
        <v>0</v>
      </c>
      <c r="BF47" s="19">
        <f t="shared" si="75"/>
        <v>0</v>
      </c>
      <c r="BG47" s="19">
        <f t="shared" si="75"/>
        <v>0</v>
      </c>
      <c r="BH47" s="19">
        <f t="shared" si="75"/>
        <v>0</v>
      </c>
      <c r="BI47" s="19">
        <f t="shared" si="75"/>
        <v>0</v>
      </c>
      <c r="BJ47" s="19">
        <f t="shared" si="75"/>
        <v>0</v>
      </c>
      <c r="BK47" s="19">
        <f t="shared" si="75"/>
        <v>0</v>
      </c>
      <c r="BL47" s="19">
        <f t="shared" si="75"/>
        <v>0</v>
      </c>
      <c r="BM47" s="19">
        <f t="shared" si="76"/>
        <v>0</v>
      </c>
      <c r="BN47" s="19">
        <f t="shared" si="77"/>
        <v>0</v>
      </c>
      <c r="BO47" s="19">
        <f t="shared" si="78"/>
        <v>0</v>
      </c>
      <c r="BP47" s="24">
        <f t="shared" si="80"/>
        <v>3290.7944302426422</v>
      </c>
      <c r="BR47" s="6"/>
    </row>
    <row r="48" spans="1:71">
      <c r="B48" s="5">
        <v>2021</v>
      </c>
      <c r="C48" s="32">
        <f>'Project area'!E13</f>
        <v>1.29</v>
      </c>
      <c r="D48" s="19">
        <f t="shared" si="81"/>
        <v>41.86</v>
      </c>
      <c r="E48" s="19">
        <f t="shared" si="82"/>
        <v>1.18</v>
      </c>
      <c r="F48" s="19">
        <f>C45</f>
        <v>107.65</v>
      </c>
      <c r="G48" s="19">
        <f>C44</f>
        <v>86.79</v>
      </c>
      <c r="H48" s="19"/>
      <c r="I48" s="19"/>
      <c r="J48" s="19"/>
      <c r="K48" s="19"/>
      <c r="L48" s="19"/>
      <c r="M48" s="19"/>
      <c r="N48" s="86"/>
      <c r="O48" s="86"/>
      <c r="P48" s="87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24">
        <f t="shared" si="79"/>
        <v>238.77000000000004</v>
      </c>
      <c r="AI48" s="19"/>
      <c r="AJ48" s="5">
        <v>2021</v>
      </c>
      <c r="AK48" s="19">
        <f t="shared" si="59"/>
        <v>12.272407175295188</v>
      </c>
      <c r="AL48" s="19">
        <f t="shared" si="60"/>
        <v>428.58576184851159</v>
      </c>
      <c r="AM48" s="19">
        <f t="shared" si="61"/>
        <v>15.078152430206025</v>
      </c>
      <c r="AN48" s="19">
        <f t="shared" si="62"/>
        <v>1866.6231251346553</v>
      </c>
      <c r="AO48" s="19">
        <f t="shared" si="63"/>
        <v>2090.6508839737266</v>
      </c>
      <c r="AP48" s="19">
        <f t="shared" si="64"/>
        <v>0</v>
      </c>
      <c r="AQ48" s="19">
        <f t="shared" si="65"/>
        <v>0</v>
      </c>
      <c r="AR48" s="19">
        <f t="shared" si="66"/>
        <v>0</v>
      </c>
      <c r="AS48" s="19">
        <f t="shared" si="67"/>
        <v>0</v>
      </c>
      <c r="AT48" s="19">
        <f t="shared" si="68"/>
        <v>0</v>
      </c>
      <c r="AU48" s="19">
        <f t="shared" si="69"/>
        <v>0</v>
      </c>
      <c r="AV48" s="19">
        <f t="shared" si="70"/>
        <v>0</v>
      </c>
      <c r="AW48" s="19">
        <f t="shared" si="71"/>
        <v>0</v>
      </c>
      <c r="AX48" s="19">
        <f t="shared" si="72"/>
        <v>0</v>
      </c>
      <c r="AY48" s="19">
        <f t="shared" si="73"/>
        <v>0</v>
      </c>
      <c r="AZ48" s="19">
        <f t="shared" si="74"/>
        <v>0</v>
      </c>
      <c r="BA48" s="19">
        <f t="shared" si="75"/>
        <v>0</v>
      </c>
      <c r="BB48" s="19">
        <f t="shared" si="75"/>
        <v>0</v>
      </c>
      <c r="BC48" s="19">
        <f t="shared" si="75"/>
        <v>0</v>
      </c>
      <c r="BD48" s="19">
        <f t="shared" si="75"/>
        <v>0</v>
      </c>
      <c r="BE48" s="19">
        <f t="shared" si="75"/>
        <v>0</v>
      </c>
      <c r="BF48" s="19">
        <f t="shared" si="75"/>
        <v>0</v>
      </c>
      <c r="BG48" s="19">
        <f t="shared" si="75"/>
        <v>0</v>
      </c>
      <c r="BH48" s="19">
        <f t="shared" si="75"/>
        <v>0</v>
      </c>
      <c r="BI48" s="19">
        <f t="shared" si="75"/>
        <v>0</v>
      </c>
      <c r="BJ48" s="19">
        <f t="shared" si="75"/>
        <v>0</v>
      </c>
      <c r="BK48" s="19">
        <f t="shared" si="75"/>
        <v>0</v>
      </c>
      <c r="BL48" s="19">
        <f t="shared" si="75"/>
        <v>0</v>
      </c>
      <c r="BM48" s="19">
        <f t="shared" si="76"/>
        <v>0</v>
      </c>
      <c r="BN48" s="19">
        <f t="shared" si="77"/>
        <v>0</v>
      </c>
      <c r="BO48" s="19">
        <f t="shared" si="78"/>
        <v>0</v>
      </c>
      <c r="BP48" s="24">
        <f t="shared" si="80"/>
        <v>4413.210330562395</v>
      </c>
      <c r="BR48" s="6"/>
    </row>
    <row r="49" spans="2:70">
      <c r="B49" s="5">
        <v>2022</v>
      </c>
      <c r="C49" s="32">
        <f>'Project area'!E14</f>
        <v>1.69</v>
      </c>
      <c r="D49" s="19">
        <f t="shared" si="81"/>
        <v>1.29</v>
      </c>
      <c r="E49" s="19">
        <f t="shared" si="82"/>
        <v>41.86</v>
      </c>
      <c r="F49" s="19">
        <f t="shared" ref="F49:F73" si="83">C46</f>
        <v>1.18</v>
      </c>
      <c r="G49" s="19">
        <f t="shared" ref="G49:G73" si="84">C45</f>
        <v>107.65</v>
      </c>
      <c r="H49" s="19">
        <f>C44</f>
        <v>86.79</v>
      </c>
      <c r="I49" s="19"/>
      <c r="J49" s="19"/>
      <c r="K49" s="19"/>
      <c r="L49" s="19"/>
      <c r="M49" s="19"/>
      <c r="N49" s="18"/>
      <c r="O49" s="18"/>
      <c r="P49" s="85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4">
        <f t="shared" si="79"/>
        <v>240.46000000000004</v>
      </c>
      <c r="AI49" s="19"/>
      <c r="AJ49" s="5">
        <v>2022</v>
      </c>
      <c r="AK49" s="19">
        <f t="shared" si="59"/>
        <v>16.077804749030129</v>
      </c>
      <c r="AL49" s="19">
        <f t="shared" si="60"/>
        <v>13.207731313535117</v>
      </c>
      <c r="AM49" s="19">
        <f t="shared" si="61"/>
        <v>534.89106841391879</v>
      </c>
      <c r="AN49" s="19">
        <f t="shared" si="62"/>
        <v>20.460894451081217</v>
      </c>
      <c r="AO49" s="19">
        <f t="shared" si="63"/>
        <v>2593.1393900192616</v>
      </c>
      <c r="AP49" s="19">
        <f t="shared" si="64"/>
        <v>2853.6562768732024</v>
      </c>
      <c r="AQ49" s="19">
        <f t="shared" si="65"/>
        <v>0</v>
      </c>
      <c r="AR49" s="19">
        <f t="shared" si="66"/>
        <v>0</v>
      </c>
      <c r="AS49" s="19">
        <f t="shared" si="67"/>
        <v>0</v>
      </c>
      <c r="AT49" s="19">
        <f t="shared" si="68"/>
        <v>0</v>
      </c>
      <c r="AU49" s="19">
        <f t="shared" si="69"/>
        <v>0</v>
      </c>
      <c r="AV49" s="19">
        <f t="shared" si="70"/>
        <v>0</v>
      </c>
      <c r="AW49" s="19">
        <f t="shared" si="71"/>
        <v>0</v>
      </c>
      <c r="AX49" s="19">
        <f t="shared" si="72"/>
        <v>0</v>
      </c>
      <c r="AY49" s="19">
        <f t="shared" si="73"/>
        <v>0</v>
      </c>
      <c r="AZ49" s="19">
        <f t="shared" si="74"/>
        <v>0</v>
      </c>
      <c r="BA49" s="19">
        <f t="shared" si="75"/>
        <v>0</v>
      </c>
      <c r="BB49" s="19">
        <f t="shared" si="75"/>
        <v>0</v>
      </c>
      <c r="BC49" s="19">
        <f t="shared" si="75"/>
        <v>0</v>
      </c>
      <c r="BD49" s="19">
        <f t="shared" si="75"/>
        <v>0</v>
      </c>
      <c r="BE49" s="19">
        <f t="shared" si="75"/>
        <v>0</v>
      </c>
      <c r="BF49" s="19">
        <f t="shared" si="75"/>
        <v>0</v>
      </c>
      <c r="BG49" s="19">
        <f t="shared" si="75"/>
        <v>0</v>
      </c>
      <c r="BH49" s="19">
        <f t="shared" si="75"/>
        <v>0</v>
      </c>
      <c r="BI49" s="19">
        <f t="shared" si="75"/>
        <v>0</v>
      </c>
      <c r="BJ49" s="19">
        <f t="shared" si="75"/>
        <v>0</v>
      </c>
      <c r="BK49" s="19">
        <f t="shared" si="75"/>
        <v>0</v>
      </c>
      <c r="BL49" s="19">
        <f t="shared" si="75"/>
        <v>0</v>
      </c>
      <c r="BM49" s="19">
        <f t="shared" si="76"/>
        <v>0</v>
      </c>
      <c r="BN49" s="19">
        <f t="shared" si="77"/>
        <v>0</v>
      </c>
      <c r="BO49" s="19">
        <f t="shared" si="78"/>
        <v>0</v>
      </c>
      <c r="BP49" s="24">
        <f t="shared" si="80"/>
        <v>6031.4331658200299</v>
      </c>
      <c r="BR49" s="6"/>
    </row>
    <row r="50" spans="2:70">
      <c r="B50" s="5">
        <v>2023</v>
      </c>
      <c r="C50" s="32">
        <f>'Project area'!E15</f>
        <v>8.77</v>
      </c>
      <c r="D50" s="19">
        <f t="shared" si="81"/>
        <v>1.69</v>
      </c>
      <c r="E50" s="19">
        <f t="shared" si="82"/>
        <v>1.29</v>
      </c>
      <c r="F50" s="19">
        <f t="shared" si="83"/>
        <v>41.86</v>
      </c>
      <c r="G50" s="19">
        <f t="shared" si="84"/>
        <v>1.18</v>
      </c>
      <c r="H50" s="19">
        <f t="shared" ref="H50:H73" si="85">C45</f>
        <v>107.65</v>
      </c>
      <c r="I50" s="19">
        <f>C44</f>
        <v>86.79</v>
      </c>
      <c r="J50" s="19"/>
      <c r="K50" s="19"/>
      <c r="L50" s="19"/>
      <c r="M50" s="19"/>
      <c r="N50" s="18"/>
      <c r="O50" s="18"/>
      <c r="P50" s="85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4">
        <f t="shared" si="79"/>
        <v>249.23000000000002</v>
      </c>
      <c r="AI50" s="19"/>
      <c r="AJ50" s="5">
        <v>2023</v>
      </c>
      <c r="AK50" s="19">
        <f t="shared" si="59"/>
        <v>83.433341804138593</v>
      </c>
      <c r="AL50" s="19">
        <f t="shared" si="60"/>
        <v>17.303151875871585</v>
      </c>
      <c r="AM50" s="19">
        <f t="shared" si="61"/>
        <v>16.483742910987942</v>
      </c>
      <c r="AN50" s="19">
        <f t="shared" si="62"/>
        <v>725.84156078157616</v>
      </c>
      <c r="AO50" s="19">
        <f t="shared" si="63"/>
        <v>28.424565538529755</v>
      </c>
      <c r="AP50" s="19">
        <f t="shared" si="64"/>
        <v>3539.5333356999681</v>
      </c>
      <c r="AQ50" s="19">
        <f t="shared" si="65"/>
        <v>3764.6547344539504</v>
      </c>
      <c r="AR50" s="19">
        <f t="shared" si="66"/>
        <v>0</v>
      </c>
      <c r="AS50" s="19">
        <f t="shared" si="67"/>
        <v>0</v>
      </c>
      <c r="AT50" s="19">
        <f t="shared" si="68"/>
        <v>0</v>
      </c>
      <c r="AU50" s="19">
        <f t="shared" si="69"/>
        <v>0</v>
      </c>
      <c r="AV50" s="19">
        <f t="shared" si="70"/>
        <v>0</v>
      </c>
      <c r="AW50" s="19">
        <f t="shared" si="71"/>
        <v>0</v>
      </c>
      <c r="AX50" s="19">
        <f t="shared" si="72"/>
        <v>0</v>
      </c>
      <c r="AY50" s="19">
        <f t="shared" si="73"/>
        <v>0</v>
      </c>
      <c r="AZ50" s="19">
        <f t="shared" si="74"/>
        <v>0</v>
      </c>
      <c r="BA50" s="19">
        <f t="shared" si="75"/>
        <v>0</v>
      </c>
      <c r="BB50" s="19">
        <f t="shared" si="75"/>
        <v>0</v>
      </c>
      <c r="BC50" s="19">
        <f t="shared" si="75"/>
        <v>0</v>
      </c>
      <c r="BD50" s="19">
        <f t="shared" si="75"/>
        <v>0</v>
      </c>
      <c r="BE50" s="19">
        <f t="shared" si="75"/>
        <v>0</v>
      </c>
      <c r="BF50" s="19">
        <f t="shared" si="75"/>
        <v>0</v>
      </c>
      <c r="BG50" s="19">
        <f t="shared" si="75"/>
        <v>0</v>
      </c>
      <c r="BH50" s="19">
        <f t="shared" si="75"/>
        <v>0</v>
      </c>
      <c r="BI50" s="19">
        <f t="shared" si="75"/>
        <v>0</v>
      </c>
      <c r="BJ50" s="19">
        <f t="shared" si="75"/>
        <v>0</v>
      </c>
      <c r="BK50" s="19">
        <f t="shared" si="75"/>
        <v>0</v>
      </c>
      <c r="BL50" s="19">
        <f t="shared" si="75"/>
        <v>0</v>
      </c>
      <c r="BM50" s="19">
        <f t="shared" si="76"/>
        <v>0</v>
      </c>
      <c r="BN50" s="19">
        <f t="shared" si="77"/>
        <v>0</v>
      </c>
      <c r="BO50" s="19">
        <f t="shared" si="78"/>
        <v>0</v>
      </c>
      <c r="BP50" s="24">
        <f t="shared" si="80"/>
        <v>8175.6744330650226</v>
      </c>
      <c r="BR50" s="6"/>
    </row>
    <row r="51" spans="2:70">
      <c r="B51" s="5">
        <v>2024</v>
      </c>
      <c r="C51" s="32">
        <f>'Project area'!E16</f>
        <v>3.4399999999999995</v>
      </c>
      <c r="D51" s="19">
        <f t="shared" si="81"/>
        <v>8.77</v>
      </c>
      <c r="E51" s="19">
        <f t="shared" si="82"/>
        <v>1.69</v>
      </c>
      <c r="F51" s="19">
        <f t="shared" si="83"/>
        <v>1.29</v>
      </c>
      <c r="G51" s="19">
        <f t="shared" si="84"/>
        <v>41.86</v>
      </c>
      <c r="H51" s="19">
        <f t="shared" si="85"/>
        <v>1.18</v>
      </c>
      <c r="I51" s="19">
        <f>C45</f>
        <v>107.65</v>
      </c>
      <c r="J51" s="19">
        <f>C44</f>
        <v>86.79</v>
      </c>
      <c r="K51" s="19"/>
      <c r="L51" s="19"/>
      <c r="M51" s="19"/>
      <c r="N51" s="18"/>
      <c r="O51" s="18"/>
      <c r="P51" s="85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4">
        <f t="shared" si="79"/>
        <v>252.67000000000002</v>
      </c>
      <c r="AI51" s="19"/>
      <c r="AJ51" s="5">
        <v>2024</v>
      </c>
      <c r="AK51" s="19">
        <f t="shared" si="59"/>
        <v>32.726419134120498</v>
      </c>
      <c r="AL51" s="19">
        <f t="shared" si="60"/>
        <v>89.792095829227108</v>
      </c>
      <c r="AM51" s="19">
        <f t="shared" si="61"/>
        <v>21.594981022922187</v>
      </c>
      <c r="AN51" s="19">
        <f t="shared" si="62"/>
        <v>22.368265967707433</v>
      </c>
      <c r="AO51" s="19">
        <f t="shared" si="63"/>
        <v>1008.3494181719115</v>
      </c>
      <c r="AP51" s="19">
        <f t="shared" si="64"/>
        <v>38.798414641207259</v>
      </c>
      <c r="AQ51" s="19">
        <f t="shared" si="65"/>
        <v>4669.4905192299539</v>
      </c>
      <c r="AR51" s="19">
        <f t="shared" si="66"/>
        <v>1575.8627041668528</v>
      </c>
      <c r="AS51" s="19">
        <f t="shared" si="67"/>
        <v>0</v>
      </c>
      <c r="AT51" s="19">
        <f t="shared" si="68"/>
        <v>0</v>
      </c>
      <c r="AU51" s="19">
        <f t="shared" si="69"/>
        <v>0</v>
      </c>
      <c r="AV51" s="19">
        <f t="shared" si="70"/>
        <v>0</v>
      </c>
      <c r="AW51" s="19">
        <f t="shared" si="71"/>
        <v>0</v>
      </c>
      <c r="AX51" s="19">
        <f t="shared" si="72"/>
        <v>0</v>
      </c>
      <c r="AY51" s="19">
        <f t="shared" si="73"/>
        <v>0</v>
      </c>
      <c r="AZ51" s="19">
        <f t="shared" si="74"/>
        <v>0</v>
      </c>
      <c r="BA51" s="19">
        <f t="shared" si="75"/>
        <v>0</v>
      </c>
      <c r="BB51" s="19">
        <f t="shared" si="75"/>
        <v>0</v>
      </c>
      <c r="BC51" s="19">
        <f t="shared" si="75"/>
        <v>0</v>
      </c>
      <c r="BD51" s="19">
        <f t="shared" si="75"/>
        <v>0</v>
      </c>
      <c r="BE51" s="19">
        <f t="shared" si="75"/>
        <v>0</v>
      </c>
      <c r="BF51" s="19">
        <f t="shared" si="75"/>
        <v>0</v>
      </c>
      <c r="BG51" s="19">
        <f t="shared" si="75"/>
        <v>0</v>
      </c>
      <c r="BH51" s="19">
        <f t="shared" si="75"/>
        <v>0</v>
      </c>
      <c r="BI51" s="19">
        <f t="shared" si="75"/>
        <v>0</v>
      </c>
      <c r="BJ51" s="19">
        <f t="shared" si="75"/>
        <v>0</v>
      </c>
      <c r="BK51" s="19">
        <f t="shared" si="75"/>
        <v>0</v>
      </c>
      <c r="BL51" s="19">
        <f t="shared" si="75"/>
        <v>0</v>
      </c>
      <c r="BM51" s="19">
        <f t="shared" si="76"/>
        <v>0</v>
      </c>
      <c r="BN51" s="19">
        <f t="shared" si="77"/>
        <v>0</v>
      </c>
      <c r="BO51" s="19">
        <f t="shared" si="78"/>
        <v>0</v>
      </c>
      <c r="BP51" s="24">
        <f t="shared" si="80"/>
        <v>7458.9828181639023</v>
      </c>
      <c r="BR51" s="6"/>
    </row>
    <row r="52" spans="2:70">
      <c r="B52" s="5">
        <v>2025</v>
      </c>
      <c r="C52" s="32">
        <f>'Project area'!E17</f>
        <v>0</v>
      </c>
      <c r="D52" s="19">
        <f t="shared" si="81"/>
        <v>3.4399999999999995</v>
      </c>
      <c r="E52" s="19">
        <f t="shared" si="82"/>
        <v>8.77</v>
      </c>
      <c r="F52" s="19">
        <f t="shared" si="83"/>
        <v>1.69</v>
      </c>
      <c r="G52" s="19">
        <f t="shared" si="84"/>
        <v>1.29</v>
      </c>
      <c r="H52" s="19">
        <f t="shared" si="85"/>
        <v>41.86</v>
      </c>
      <c r="I52" s="19">
        <f t="shared" ref="I52:I73" si="86">C46</f>
        <v>1.18</v>
      </c>
      <c r="J52" s="19">
        <f t="shared" ref="J52:J73" si="87">C45</f>
        <v>107.65</v>
      </c>
      <c r="K52" s="19">
        <f>C44</f>
        <v>86.79</v>
      </c>
      <c r="L52" s="19"/>
      <c r="M52" s="19"/>
      <c r="N52" s="18"/>
      <c r="O52" s="18"/>
      <c r="P52" s="85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4">
        <f t="shared" si="79"/>
        <v>252.67000000000002</v>
      </c>
      <c r="AI52" s="19"/>
      <c r="AJ52" s="5">
        <v>2025</v>
      </c>
      <c r="AK52" s="19">
        <f t="shared" si="59"/>
        <v>0</v>
      </c>
      <c r="AL52" s="19">
        <f t="shared" si="60"/>
        <v>35.22061683609364</v>
      </c>
      <c r="AM52" s="19">
        <f t="shared" si="61"/>
        <v>112.06389560415833</v>
      </c>
      <c r="AN52" s="19">
        <f t="shared" si="62"/>
        <v>29.304162391802762</v>
      </c>
      <c r="AO52" s="19">
        <f t="shared" si="63"/>
        <v>31.074313173477446</v>
      </c>
      <c r="AP52" s="19">
        <f t="shared" si="64"/>
        <v>1376.3573193906238</v>
      </c>
      <c r="AQ52" s="19">
        <f t="shared" si="65"/>
        <v>51.184382839678079</v>
      </c>
      <c r="AR52" s="19">
        <f t="shared" si="66"/>
        <v>1954.6217318073707</v>
      </c>
      <c r="AS52" s="19">
        <f t="shared" si="67"/>
        <v>3678.9756959373535</v>
      </c>
      <c r="AT52" s="19">
        <f t="shared" si="68"/>
        <v>0</v>
      </c>
      <c r="AU52" s="19">
        <f t="shared" si="69"/>
        <v>0</v>
      </c>
      <c r="AV52" s="19">
        <f t="shared" si="70"/>
        <v>0</v>
      </c>
      <c r="AW52" s="19">
        <f t="shared" si="71"/>
        <v>0</v>
      </c>
      <c r="AX52" s="19">
        <f t="shared" si="72"/>
        <v>0</v>
      </c>
      <c r="AY52" s="19">
        <f t="shared" si="73"/>
        <v>0</v>
      </c>
      <c r="AZ52" s="19">
        <f t="shared" si="74"/>
        <v>0</v>
      </c>
      <c r="BA52" s="19">
        <f t="shared" si="75"/>
        <v>0</v>
      </c>
      <c r="BB52" s="19">
        <f t="shared" si="75"/>
        <v>0</v>
      </c>
      <c r="BC52" s="19">
        <f t="shared" si="75"/>
        <v>0</v>
      </c>
      <c r="BD52" s="19">
        <f t="shared" si="75"/>
        <v>0</v>
      </c>
      <c r="BE52" s="19">
        <f t="shared" si="75"/>
        <v>0</v>
      </c>
      <c r="BF52" s="19">
        <f t="shared" si="75"/>
        <v>0</v>
      </c>
      <c r="BG52" s="19">
        <f t="shared" si="75"/>
        <v>0</v>
      </c>
      <c r="BH52" s="19">
        <f t="shared" si="75"/>
        <v>0</v>
      </c>
      <c r="BI52" s="19">
        <f t="shared" si="75"/>
        <v>0</v>
      </c>
      <c r="BJ52" s="19">
        <f t="shared" si="75"/>
        <v>0</v>
      </c>
      <c r="BK52" s="19">
        <f t="shared" si="75"/>
        <v>0</v>
      </c>
      <c r="BL52" s="19">
        <f t="shared" si="75"/>
        <v>0</v>
      </c>
      <c r="BM52" s="19">
        <f t="shared" si="76"/>
        <v>0</v>
      </c>
      <c r="BN52" s="19">
        <f t="shared" si="77"/>
        <v>0</v>
      </c>
      <c r="BO52" s="19">
        <f t="shared" si="78"/>
        <v>0</v>
      </c>
      <c r="BP52" s="24">
        <f t="shared" si="80"/>
        <v>7268.8021179805583</v>
      </c>
      <c r="BR52" s="6"/>
    </row>
    <row r="53" spans="2:70">
      <c r="B53" s="5">
        <v>2026</v>
      </c>
      <c r="C53" s="80">
        <f>'Project area'!E18</f>
        <v>0</v>
      </c>
      <c r="D53" s="19">
        <f t="shared" si="81"/>
        <v>0</v>
      </c>
      <c r="E53" s="19">
        <f t="shared" si="82"/>
        <v>3.4399999999999995</v>
      </c>
      <c r="F53" s="19">
        <f t="shared" si="83"/>
        <v>8.77</v>
      </c>
      <c r="G53" s="19">
        <f t="shared" si="84"/>
        <v>1.69</v>
      </c>
      <c r="H53" s="19">
        <f t="shared" si="85"/>
        <v>1.29</v>
      </c>
      <c r="I53" s="19">
        <f t="shared" si="86"/>
        <v>41.86</v>
      </c>
      <c r="J53" s="19">
        <f t="shared" si="87"/>
        <v>1.18</v>
      </c>
      <c r="K53" s="19">
        <f t="shared" ref="K53:K73" si="88">C45</f>
        <v>107.65</v>
      </c>
      <c r="L53" s="19">
        <f>C44</f>
        <v>86.79</v>
      </c>
      <c r="M53" s="19"/>
      <c r="N53" s="18"/>
      <c r="O53" s="18"/>
      <c r="P53" s="85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4">
        <f t="shared" si="79"/>
        <v>252.67000000000002</v>
      </c>
      <c r="AI53" s="19"/>
      <c r="AJ53" s="5">
        <v>2026</v>
      </c>
      <c r="AK53" s="19">
        <f t="shared" si="59"/>
        <v>0</v>
      </c>
      <c r="AL53" s="19">
        <f t="shared" si="60"/>
        <v>0</v>
      </c>
      <c r="AM53" s="19">
        <f t="shared" si="61"/>
        <v>43.95664776263451</v>
      </c>
      <c r="AN53" s="19">
        <f t="shared" si="62"/>
        <v>152.06952909829008</v>
      </c>
      <c r="AO53" s="19">
        <f t="shared" si="63"/>
        <v>40.709759118741765</v>
      </c>
      <c r="AP53" s="19">
        <f t="shared" si="64"/>
        <v>42.41521600606557</v>
      </c>
      <c r="AQ53" s="19">
        <f t="shared" si="65"/>
        <v>1815.7442929397666</v>
      </c>
      <c r="AR53" s="19">
        <f t="shared" si="66"/>
        <v>21.425486702579629</v>
      </c>
      <c r="AS53" s="19">
        <f t="shared" si="67"/>
        <v>4563.2185006067075</v>
      </c>
      <c r="AT53" s="19">
        <f t="shared" si="68"/>
        <v>4520.7365927595301</v>
      </c>
      <c r="AU53" s="19">
        <f t="shared" si="69"/>
        <v>0</v>
      </c>
      <c r="AV53" s="19">
        <f t="shared" si="70"/>
        <v>0</v>
      </c>
      <c r="AW53" s="19">
        <f t="shared" si="71"/>
        <v>0</v>
      </c>
      <c r="AX53" s="19">
        <f t="shared" si="72"/>
        <v>0</v>
      </c>
      <c r="AY53" s="19">
        <f t="shared" si="73"/>
        <v>0</v>
      </c>
      <c r="AZ53" s="19">
        <f t="shared" si="74"/>
        <v>0</v>
      </c>
      <c r="BA53" s="19">
        <f t="shared" si="75"/>
        <v>0</v>
      </c>
      <c r="BB53" s="19">
        <f t="shared" si="75"/>
        <v>0</v>
      </c>
      <c r="BC53" s="19">
        <f t="shared" si="75"/>
        <v>0</v>
      </c>
      <c r="BD53" s="19">
        <f t="shared" si="75"/>
        <v>0</v>
      </c>
      <c r="BE53" s="19">
        <f t="shared" si="75"/>
        <v>0</v>
      </c>
      <c r="BF53" s="19">
        <f t="shared" si="75"/>
        <v>0</v>
      </c>
      <c r="BG53" s="19">
        <f t="shared" si="75"/>
        <v>0</v>
      </c>
      <c r="BH53" s="19">
        <f t="shared" si="75"/>
        <v>0</v>
      </c>
      <c r="BI53" s="19">
        <f t="shared" si="75"/>
        <v>0</v>
      </c>
      <c r="BJ53" s="19">
        <f t="shared" si="75"/>
        <v>0</v>
      </c>
      <c r="BK53" s="19">
        <f t="shared" si="75"/>
        <v>0</v>
      </c>
      <c r="BL53" s="19">
        <f t="shared" si="75"/>
        <v>0</v>
      </c>
      <c r="BM53" s="19">
        <f t="shared" si="76"/>
        <v>0</v>
      </c>
      <c r="BN53" s="19">
        <f t="shared" si="77"/>
        <v>0</v>
      </c>
      <c r="BO53" s="19">
        <f t="shared" si="78"/>
        <v>0</v>
      </c>
      <c r="BP53" s="24">
        <f t="shared" si="80"/>
        <v>11200.276024994317</v>
      </c>
      <c r="BR53" s="6"/>
    </row>
    <row r="54" spans="2:70">
      <c r="B54" s="5">
        <v>2027</v>
      </c>
      <c r="C54" s="80">
        <f>'Project area'!E19</f>
        <v>0</v>
      </c>
      <c r="D54" s="19">
        <f t="shared" si="81"/>
        <v>0</v>
      </c>
      <c r="E54" s="19">
        <f t="shared" si="82"/>
        <v>0</v>
      </c>
      <c r="F54" s="19">
        <f t="shared" si="83"/>
        <v>3.4399999999999995</v>
      </c>
      <c r="G54" s="19">
        <f t="shared" si="84"/>
        <v>8.77</v>
      </c>
      <c r="H54" s="19">
        <f t="shared" si="85"/>
        <v>1.69</v>
      </c>
      <c r="I54" s="19">
        <f t="shared" si="86"/>
        <v>1.29</v>
      </c>
      <c r="J54" s="19">
        <f t="shared" si="87"/>
        <v>41.86</v>
      </c>
      <c r="K54" s="19">
        <f t="shared" si="88"/>
        <v>1.18</v>
      </c>
      <c r="L54" s="19">
        <f t="shared" ref="L54:L73" si="89">C45</f>
        <v>107.65</v>
      </c>
      <c r="M54" s="19">
        <f>C44</f>
        <v>86.79</v>
      </c>
      <c r="N54" s="18"/>
      <c r="O54" s="18"/>
      <c r="P54" s="85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4">
        <f t="shared" si="79"/>
        <v>252.67000000000002</v>
      </c>
      <c r="AI54" s="19"/>
      <c r="AJ54" s="5">
        <v>2027</v>
      </c>
      <c r="AK54" s="19">
        <f t="shared" si="59"/>
        <v>0</v>
      </c>
      <c r="AL54" s="19">
        <f t="shared" si="60"/>
        <v>0</v>
      </c>
      <c r="AM54" s="19">
        <f t="shared" si="61"/>
        <v>0</v>
      </c>
      <c r="AN54" s="19">
        <f t="shared" si="62"/>
        <v>59.648709247219813</v>
      </c>
      <c r="AO54" s="19">
        <f t="shared" si="63"/>
        <v>211.25715234992029</v>
      </c>
      <c r="AP54" s="19">
        <f t="shared" si="64"/>
        <v>55.567220969186671</v>
      </c>
      <c r="AQ54" s="19">
        <f t="shared" si="65"/>
        <v>55.955808358631124</v>
      </c>
      <c r="AR54" s="19">
        <f t="shared" si="66"/>
        <v>760.06006217795198</v>
      </c>
      <c r="AS54" s="19">
        <f t="shared" si="67"/>
        <v>50.019487512456237</v>
      </c>
      <c r="AT54" s="19">
        <f t="shared" si="68"/>
        <v>5607.296856902447</v>
      </c>
      <c r="AU54" s="19">
        <f t="shared" si="69"/>
        <v>5426.3044260185707</v>
      </c>
      <c r="AV54" s="19">
        <f t="shared" si="70"/>
        <v>0</v>
      </c>
      <c r="AW54" s="19">
        <f t="shared" si="71"/>
        <v>0</v>
      </c>
      <c r="AX54" s="19">
        <f t="shared" si="72"/>
        <v>0</v>
      </c>
      <c r="AY54" s="19">
        <f t="shared" si="73"/>
        <v>0</v>
      </c>
      <c r="AZ54" s="19">
        <f t="shared" si="74"/>
        <v>0</v>
      </c>
      <c r="BA54" s="19">
        <f t="shared" si="75"/>
        <v>0</v>
      </c>
      <c r="BB54" s="19">
        <f t="shared" si="75"/>
        <v>0</v>
      </c>
      <c r="BC54" s="19">
        <f t="shared" si="75"/>
        <v>0</v>
      </c>
      <c r="BD54" s="19">
        <f t="shared" si="75"/>
        <v>0</v>
      </c>
      <c r="BE54" s="19">
        <f t="shared" si="75"/>
        <v>0</v>
      </c>
      <c r="BF54" s="19">
        <f t="shared" si="75"/>
        <v>0</v>
      </c>
      <c r="BG54" s="19">
        <f t="shared" si="75"/>
        <v>0</v>
      </c>
      <c r="BH54" s="19">
        <f t="shared" si="75"/>
        <v>0</v>
      </c>
      <c r="BI54" s="19">
        <f t="shared" si="75"/>
        <v>0</v>
      </c>
      <c r="BJ54" s="19">
        <f t="shared" si="75"/>
        <v>0</v>
      </c>
      <c r="BK54" s="19">
        <f t="shared" si="75"/>
        <v>0</v>
      </c>
      <c r="BL54" s="19">
        <f t="shared" si="75"/>
        <v>0</v>
      </c>
      <c r="BM54" s="19">
        <f t="shared" si="76"/>
        <v>0</v>
      </c>
      <c r="BN54" s="19">
        <f t="shared" si="77"/>
        <v>0</v>
      </c>
      <c r="BO54" s="19">
        <f t="shared" si="78"/>
        <v>0</v>
      </c>
      <c r="BP54" s="24">
        <f t="shared" si="80"/>
        <v>12226.109723536383</v>
      </c>
      <c r="BR54" s="6"/>
    </row>
    <row r="55" spans="2:70">
      <c r="B55" s="5">
        <v>2028</v>
      </c>
      <c r="C55" s="80">
        <f>'Project area'!E20</f>
        <v>0</v>
      </c>
      <c r="D55" s="19">
        <f t="shared" si="81"/>
        <v>0</v>
      </c>
      <c r="E55" s="19">
        <f t="shared" si="82"/>
        <v>0</v>
      </c>
      <c r="F55" s="19">
        <f t="shared" si="83"/>
        <v>0</v>
      </c>
      <c r="G55" s="19">
        <f t="shared" si="84"/>
        <v>3.4399999999999995</v>
      </c>
      <c r="H55" s="19">
        <f t="shared" si="85"/>
        <v>8.77</v>
      </c>
      <c r="I55" s="19">
        <f t="shared" si="86"/>
        <v>1.69</v>
      </c>
      <c r="J55" s="19">
        <f t="shared" si="87"/>
        <v>1.29</v>
      </c>
      <c r="K55" s="19">
        <f t="shared" si="88"/>
        <v>41.86</v>
      </c>
      <c r="L55" s="19">
        <f t="shared" si="89"/>
        <v>1.18</v>
      </c>
      <c r="M55" s="19">
        <f t="shared" ref="M55:M73" si="90">C45</f>
        <v>107.65</v>
      </c>
      <c r="N55" s="18">
        <f>C44</f>
        <v>86.79</v>
      </c>
      <c r="O55" s="18"/>
      <c r="P55" s="85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4">
        <f t="shared" si="79"/>
        <v>252.67000000000002</v>
      </c>
      <c r="AI55" s="19"/>
      <c r="AJ55" s="5">
        <v>2028</v>
      </c>
      <c r="AK55" s="19">
        <f t="shared" si="59"/>
        <v>0</v>
      </c>
      <c r="AL55" s="19">
        <f t="shared" si="60"/>
        <v>0</v>
      </c>
      <c r="AM55" s="19">
        <f t="shared" si="61"/>
        <v>0</v>
      </c>
      <c r="AN55" s="19">
        <f t="shared" si="62"/>
        <v>0</v>
      </c>
      <c r="AO55" s="19">
        <f t="shared" si="63"/>
        <v>82.864835129273175</v>
      </c>
      <c r="AP55" s="19">
        <f t="shared" si="64"/>
        <v>288.35770881643026</v>
      </c>
      <c r="AQ55" s="19">
        <f t="shared" si="65"/>
        <v>73.306446609369459</v>
      </c>
      <c r="AR55" s="19">
        <f t="shared" si="66"/>
        <v>23.422777835870953</v>
      </c>
      <c r="AS55" s="19">
        <f t="shared" si="67"/>
        <v>1774.4201248062866</v>
      </c>
      <c r="AT55" s="19">
        <f t="shared" si="68"/>
        <v>61.464099313932991</v>
      </c>
      <c r="AU55" s="19">
        <f t="shared" si="69"/>
        <v>6730.5181640845622</v>
      </c>
      <c r="AV55" s="19">
        <f t="shared" si="70"/>
        <v>6372.1045210595767</v>
      </c>
      <c r="AW55" s="19">
        <f t="shared" si="71"/>
        <v>0</v>
      </c>
      <c r="AX55" s="19">
        <f t="shared" si="72"/>
        <v>0</v>
      </c>
      <c r="AY55" s="19">
        <f t="shared" si="73"/>
        <v>0</v>
      </c>
      <c r="AZ55" s="19">
        <f t="shared" si="74"/>
        <v>0</v>
      </c>
      <c r="BA55" s="19">
        <f t="shared" si="75"/>
        <v>0</v>
      </c>
      <c r="BB55" s="19">
        <f t="shared" si="75"/>
        <v>0</v>
      </c>
      <c r="BC55" s="19">
        <f t="shared" si="75"/>
        <v>0</v>
      </c>
      <c r="BD55" s="19">
        <f t="shared" si="75"/>
        <v>0</v>
      </c>
      <c r="BE55" s="19">
        <f t="shared" si="75"/>
        <v>0</v>
      </c>
      <c r="BF55" s="19">
        <f t="shared" si="75"/>
        <v>0</v>
      </c>
      <c r="BG55" s="19">
        <f t="shared" si="75"/>
        <v>0</v>
      </c>
      <c r="BH55" s="19">
        <f t="shared" si="75"/>
        <v>0</v>
      </c>
      <c r="BI55" s="19">
        <f t="shared" si="75"/>
        <v>0</v>
      </c>
      <c r="BJ55" s="19">
        <f t="shared" si="75"/>
        <v>0</v>
      </c>
      <c r="BK55" s="19">
        <f t="shared" si="75"/>
        <v>0</v>
      </c>
      <c r="BL55" s="19">
        <f t="shared" si="75"/>
        <v>0</v>
      </c>
      <c r="BM55" s="19">
        <f t="shared" si="76"/>
        <v>0</v>
      </c>
      <c r="BN55" s="19">
        <f t="shared" si="77"/>
        <v>0</v>
      </c>
      <c r="BO55" s="19">
        <f t="shared" si="78"/>
        <v>0</v>
      </c>
      <c r="BP55" s="24">
        <f t="shared" si="80"/>
        <v>15406.458677655302</v>
      </c>
      <c r="BR55" s="6"/>
    </row>
    <row r="56" spans="2:70">
      <c r="B56" s="5">
        <v>2029</v>
      </c>
      <c r="C56" s="80">
        <f>'Project area'!E21</f>
        <v>0</v>
      </c>
      <c r="D56" s="19">
        <f t="shared" si="81"/>
        <v>0</v>
      </c>
      <c r="E56" s="19">
        <f t="shared" si="82"/>
        <v>0</v>
      </c>
      <c r="F56" s="19">
        <f t="shared" si="83"/>
        <v>0</v>
      </c>
      <c r="G56" s="19">
        <f t="shared" si="84"/>
        <v>0</v>
      </c>
      <c r="H56" s="19">
        <f t="shared" si="85"/>
        <v>3.4399999999999995</v>
      </c>
      <c r="I56" s="19">
        <f t="shared" si="86"/>
        <v>8.77</v>
      </c>
      <c r="J56" s="19">
        <f t="shared" si="87"/>
        <v>1.69</v>
      </c>
      <c r="K56" s="19">
        <f t="shared" si="88"/>
        <v>1.29</v>
      </c>
      <c r="L56" s="19">
        <f t="shared" si="89"/>
        <v>41.86</v>
      </c>
      <c r="M56" s="19">
        <f t="shared" si="90"/>
        <v>1.18</v>
      </c>
      <c r="N56" s="18">
        <f t="shared" ref="N56:N73" si="91">C45</f>
        <v>107.65</v>
      </c>
      <c r="O56" s="18">
        <f>C44</f>
        <v>86.79</v>
      </c>
      <c r="P56" s="85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4">
        <f t="shared" si="79"/>
        <v>252.67000000000002</v>
      </c>
      <c r="AI56" s="19"/>
      <c r="AJ56" s="5">
        <v>2029</v>
      </c>
      <c r="AK56" s="19">
        <f t="shared" si="59"/>
        <v>0</v>
      </c>
      <c r="AL56" s="19">
        <f t="shared" si="60"/>
        <v>0</v>
      </c>
      <c r="AM56" s="19">
        <f t="shared" si="61"/>
        <v>0</v>
      </c>
      <c r="AN56" s="19">
        <f t="shared" si="62"/>
        <v>0</v>
      </c>
      <c r="AO56" s="19">
        <f t="shared" si="63"/>
        <v>0</v>
      </c>
      <c r="AP56" s="19">
        <f t="shared" si="64"/>
        <v>113.1072426828415</v>
      </c>
      <c r="AQ56" s="19">
        <f t="shared" si="65"/>
        <v>380.41274364743794</v>
      </c>
      <c r="AR56" s="19">
        <f t="shared" si="66"/>
        <v>30.68565468420303</v>
      </c>
      <c r="AS56" s="19">
        <f t="shared" si="67"/>
        <v>54.682321094125889</v>
      </c>
      <c r="AT56" s="19">
        <f t="shared" si="68"/>
        <v>2180.4128790518944</v>
      </c>
      <c r="AU56" s="19">
        <f t="shared" si="69"/>
        <v>73.776232546398347</v>
      </c>
      <c r="AV56" s="19">
        <f t="shared" si="70"/>
        <v>7903.6415680615664</v>
      </c>
      <c r="AW56" s="19">
        <f t="shared" si="71"/>
        <v>7342.9296226431561</v>
      </c>
      <c r="AX56" s="19">
        <f t="shared" si="72"/>
        <v>0</v>
      </c>
      <c r="AY56" s="19">
        <f t="shared" si="73"/>
        <v>0</v>
      </c>
      <c r="AZ56" s="19">
        <f t="shared" si="74"/>
        <v>0</v>
      </c>
      <c r="BA56" s="19">
        <f t="shared" si="75"/>
        <v>0</v>
      </c>
      <c r="BB56" s="19">
        <f t="shared" si="75"/>
        <v>0</v>
      </c>
      <c r="BC56" s="19">
        <f t="shared" si="75"/>
        <v>0</v>
      </c>
      <c r="BD56" s="19">
        <f t="shared" si="75"/>
        <v>0</v>
      </c>
      <c r="BE56" s="19">
        <f t="shared" si="75"/>
        <v>0</v>
      </c>
      <c r="BF56" s="19">
        <f t="shared" si="75"/>
        <v>0</v>
      </c>
      <c r="BG56" s="19">
        <f t="shared" si="75"/>
        <v>0</v>
      </c>
      <c r="BH56" s="19">
        <f t="shared" si="75"/>
        <v>0</v>
      </c>
      <c r="BI56" s="19">
        <f t="shared" si="75"/>
        <v>0</v>
      </c>
      <c r="BJ56" s="19">
        <f t="shared" si="75"/>
        <v>0</v>
      </c>
      <c r="BK56" s="19">
        <f t="shared" si="75"/>
        <v>0</v>
      </c>
      <c r="BL56" s="19">
        <f t="shared" si="75"/>
        <v>0</v>
      </c>
      <c r="BM56" s="19">
        <f t="shared" si="76"/>
        <v>0</v>
      </c>
      <c r="BN56" s="19">
        <f t="shared" si="77"/>
        <v>0</v>
      </c>
      <c r="BO56" s="19">
        <f t="shared" si="78"/>
        <v>0</v>
      </c>
      <c r="BP56" s="24">
        <f t="shared" si="80"/>
        <v>18079.648264411626</v>
      </c>
      <c r="BR56" s="6"/>
    </row>
    <row r="57" spans="2:70">
      <c r="B57" s="5">
        <v>2030</v>
      </c>
      <c r="C57" s="80">
        <f>'Project area'!E22</f>
        <v>0</v>
      </c>
      <c r="D57" s="19">
        <f t="shared" si="81"/>
        <v>0</v>
      </c>
      <c r="E57" s="19">
        <f t="shared" si="82"/>
        <v>0</v>
      </c>
      <c r="F57" s="19">
        <f t="shared" si="83"/>
        <v>0</v>
      </c>
      <c r="G57" s="19">
        <f t="shared" si="84"/>
        <v>0</v>
      </c>
      <c r="H57" s="19">
        <f t="shared" si="85"/>
        <v>0</v>
      </c>
      <c r="I57" s="19">
        <f t="shared" si="86"/>
        <v>3.4399999999999995</v>
      </c>
      <c r="J57" s="19">
        <f t="shared" si="87"/>
        <v>8.77</v>
      </c>
      <c r="K57" s="19">
        <f t="shared" si="88"/>
        <v>1.69</v>
      </c>
      <c r="L57" s="19">
        <f t="shared" si="89"/>
        <v>1.29</v>
      </c>
      <c r="M57" s="19">
        <f t="shared" si="90"/>
        <v>41.86</v>
      </c>
      <c r="N57" s="18">
        <f t="shared" si="91"/>
        <v>1.18</v>
      </c>
      <c r="O57" s="18">
        <f t="shared" ref="O57:O73" si="92">C45</f>
        <v>107.65</v>
      </c>
      <c r="P57" s="85">
        <f>C44</f>
        <v>86.79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4">
        <f t="shared" si="79"/>
        <v>252.67000000000002</v>
      </c>
      <c r="AI57" s="19"/>
      <c r="AJ57" s="5">
        <v>2030</v>
      </c>
      <c r="AK57" s="19">
        <f t="shared" si="59"/>
        <v>0</v>
      </c>
      <c r="AL57" s="19">
        <f t="shared" si="60"/>
        <v>0</v>
      </c>
      <c r="AM57" s="19">
        <f t="shared" si="61"/>
        <v>0</v>
      </c>
      <c r="AN57" s="19">
        <f t="shared" si="62"/>
        <v>0</v>
      </c>
      <c r="AO57" s="19">
        <f t="shared" si="63"/>
        <v>0</v>
      </c>
      <c r="AP57" s="19">
        <f t="shared" si="64"/>
        <v>0</v>
      </c>
      <c r="AQ57" s="19">
        <f t="shared" si="65"/>
        <v>149.21548895634965</v>
      </c>
      <c r="AR57" s="19">
        <f t="shared" si="66"/>
        <v>159.2385748996808</v>
      </c>
      <c r="AS57" s="19">
        <f t="shared" si="67"/>
        <v>71.63807957292461</v>
      </c>
      <c r="AT57" s="19">
        <f t="shared" si="68"/>
        <v>67.19380348726574</v>
      </c>
      <c r="AU57" s="19">
        <f t="shared" si="69"/>
        <v>2617.1805884679961</v>
      </c>
      <c r="AV57" s="19">
        <f t="shared" si="70"/>
        <v>86.635365074896868</v>
      </c>
      <c r="AW57" s="19">
        <f t="shared" si="71"/>
        <v>9107.8047456796376</v>
      </c>
      <c r="AX57" s="19">
        <f t="shared" si="72"/>
        <v>8331.3195664208615</v>
      </c>
      <c r="AY57" s="19">
        <f t="shared" si="73"/>
        <v>0</v>
      </c>
      <c r="AZ57" s="19">
        <f t="shared" si="74"/>
        <v>0</v>
      </c>
      <c r="BA57" s="19">
        <f t="shared" si="75"/>
        <v>0</v>
      </c>
      <c r="BB57" s="19">
        <f t="shared" si="75"/>
        <v>0</v>
      </c>
      <c r="BC57" s="19">
        <f t="shared" si="75"/>
        <v>0</v>
      </c>
      <c r="BD57" s="19">
        <f t="shared" si="75"/>
        <v>0</v>
      </c>
      <c r="BE57" s="19">
        <f t="shared" si="75"/>
        <v>0</v>
      </c>
      <c r="BF57" s="19">
        <f t="shared" si="75"/>
        <v>0</v>
      </c>
      <c r="BG57" s="19">
        <f t="shared" si="75"/>
        <v>0</v>
      </c>
      <c r="BH57" s="19">
        <f t="shared" si="75"/>
        <v>0</v>
      </c>
      <c r="BI57" s="19">
        <f t="shared" si="75"/>
        <v>0</v>
      </c>
      <c r="BJ57" s="19">
        <f t="shared" si="75"/>
        <v>0</v>
      </c>
      <c r="BK57" s="19">
        <f t="shared" si="75"/>
        <v>0</v>
      </c>
      <c r="BL57" s="19">
        <f t="shared" si="75"/>
        <v>0</v>
      </c>
      <c r="BM57" s="19">
        <f t="shared" si="76"/>
        <v>0</v>
      </c>
      <c r="BN57" s="19">
        <f t="shared" si="77"/>
        <v>0</v>
      </c>
      <c r="BO57" s="19">
        <f t="shared" si="78"/>
        <v>0</v>
      </c>
      <c r="BP57" s="24">
        <f t="shared" si="80"/>
        <v>20590.226212559613</v>
      </c>
      <c r="BR57" s="6"/>
    </row>
    <row r="58" spans="2:70">
      <c r="B58" s="5">
        <v>2031</v>
      </c>
      <c r="C58" s="80">
        <f>'Project area'!E23</f>
        <v>0</v>
      </c>
      <c r="D58" s="19">
        <f t="shared" si="81"/>
        <v>0</v>
      </c>
      <c r="E58" s="19">
        <f t="shared" si="82"/>
        <v>0</v>
      </c>
      <c r="F58" s="19">
        <f t="shared" si="83"/>
        <v>0</v>
      </c>
      <c r="G58" s="19">
        <f t="shared" si="84"/>
        <v>0</v>
      </c>
      <c r="H58" s="19">
        <f t="shared" si="85"/>
        <v>0</v>
      </c>
      <c r="I58" s="19">
        <f t="shared" si="86"/>
        <v>0</v>
      </c>
      <c r="J58" s="19">
        <f t="shared" si="87"/>
        <v>3.4399999999999995</v>
      </c>
      <c r="K58" s="19">
        <f t="shared" si="88"/>
        <v>8.77</v>
      </c>
      <c r="L58" s="19">
        <f t="shared" si="89"/>
        <v>1.69</v>
      </c>
      <c r="M58" s="19">
        <f t="shared" si="90"/>
        <v>1.29</v>
      </c>
      <c r="N58" s="18">
        <f t="shared" si="91"/>
        <v>41.86</v>
      </c>
      <c r="O58" s="18">
        <f t="shared" si="92"/>
        <v>1.18</v>
      </c>
      <c r="P58" s="85">
        <f t="shared" ref="P58:P73" si="93">C45</f>
        <v>107.65</v>
      </c>
      <c r="Q58" s="18">
        <f>C44</f>
        <v>86.79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4">
        <f t="shared" si="79"/>
        <v>252.67000000000002</v>
      </c>
      <c r="AI58" s="19"/>
      <c r="AJ58" s="5">
        <v>2031</v>
      </c>
      <c r="AK58" s="19">
        <f t="shared" si="59"/>
        <v>0</v>
      </c>
      <c r="AL58" s="19">
        <f t="shared" si="60"/>
        <v>0</v>
      </c>
      <c r="AM58" s="19">
        <f t="shared" si="61"/>
        <v>0</v>
      </c>
      <c r="AN58" s="19">
        <f t="shared" si="62"/>
        <v>0</v>
      </c>
      <c r="AO58" s="19">
        <f t="shared" si="63"/>
        <v>0</v>
      </c>
      <c r="AP58" s="19">
        <f t="shared" si="64"/>
        <v>0</v>
      </c>
      <c r="AQ58" s="19">
        <f t="shared" si="65"/>
        <v>0</v>
      </c>
      <c r="AR58" s="19">
        <f t="shared" si="66"/>
        <v>62.460740895655867</v>
      </c>
      <c r="AS58" s="19">
        <f t="shared" si="67"/>
        <v>371.75500464766202</v>
      </c>
      <c r="AT58" s="19">
        <f t="shared" si="68"/>
        <v>88.029091390293871</v>
      </c>
      <c r="AU58" s="19">
        <f t="shared" si="69"/>
        <v>80.653677953265998</v>
      </c>
      <c r="AV58" s="19">
        <f t="shared" si="70"/>
        <v>3073.3528661315108</v>
      </c>
      <c r="AW58" s="19">
        <f t="shared" si="71"/>
        <v>99.834738503501825</v>
      </c>
      <c r="AX58" s="19">
        <f t="shared" si="72"/>
        <v>10333.754480069199</v>
      </c>
      <c r="AY58" s="19">
        <f t="shared" si="73"/>
        <v>9303.3256492956807</v>
      </c>
      <c r="AZ58" s="19">
        <f t="shared" si="74"/>
        <v>0</v>
      </c>
      <c r="BA58" s="19">
        <f t="shared" si="75"/>
        <v>0</v>
      </c>
      <c r="BB58" s="19">
        <f t="shared" si="75"/>
        <v>0</v>
      </c>
      <c r="BC58" s="19">
        <f t="shared" si="75"/>
        <v>0</v>
      </c>
      <c r="BD58" s="19">
        <f t="shared" si="75"/>
        <v>0</v>
      </c>
      <c r="BE58" s="19">
        <f t="shared" si="75"/>
        <v>0</v>
      </c>
      <c r="BF58" s="19">
        <f t="shared" si="75"/>
        <v>0</v>
      </c>
      <c r="BG58" s="19">
        <f t="shared" si="75"/>
        <v>0</v>
      </c>
      <c r="BH58" s="19">
        <f t="shared" si="75"/>
        <v>0</v>
      </c>
      <c r="BI58" s="19">
        <f t="shared" si="75"/>
        <v>0</v>
      </c>
      <c r="BJ58" s="19">
        <f t="shared" si="75"/>
        <v>0</v>
      </c>
      <c r="BK58" s="19">
        <f t="shared" si="75"/>
        <v>0</v>
      </c>
      <c r="BL58" s="19">
        <f t="shared" si="75"/>
        <v>0</v>
      </c>
      <c r="BM58" s="19">
        <f t="shared" si="76"/>
        <v>0</v>
      </c>
      <c r="BN58" s="19">
        <f t="shared" si="77"/>
        <v>0</v>
      </c>
      <c r="BO58" s="19">
        <f t="shared" si="78"/>
        <v>0</v>
      </c>
      <c r="BP58" s="24">
        <f t="shared" si="80"/>
        <v>23413.166248886773</v>
      </c>
      <c r="BR58" s="6"/>
    </row>
    <row r="59" spans="2:70">
      <c r="B59" s="5">
        <v>2032</v>
      </c>
      <c r="C59" s="80">
        <f>'Project area'!E24</f>
        <v>0</v>
      </c>
      <c r="D59" s="19">
        <f t="shared" si="81"/>
        <v>0</v>
      </c>
      <c r="E59" s="19">
        <f t="shared" si="82"/>
        <v>0</v>
      </c>
      <c r="F59" s="19">
        <f t="shared" si="83"/>
        <v>0</v>
      </c>
      <c r="G59" s="19">
        <f t="shared" si="84"/>
        <v>0</v>
      </c>
      <c r="H59" s="19">
        <f t="shared" si="85"/>
        <v>0</v>
      </c>
      <c r="I59" s="19">
        <f t="shared" si="86"/>
        <v>0</v>
      </c>
      <c r="J59" s="19">
        <f t="shared" si="87"/>
        <v>0</v>
      </c>
      <c r="K59" s="19">
        <f t="shared" si="88"/>
        <v>3.4399999999999995</v>
      </c>
      <c r="L59" s="19">
        <f t="shared" si="89"/>
        <v>8.77</v>
      </c>
      <c r="M59" s="19">
        <f t="shared" si="90"/>
        <v>1.69</v>
      </c>
      <c r="N59" s="18">
        <f t="shared" si="91"/>
        <v>1.29</v>
      </c>
      <c r="O59" s="18">
        <f t="shared" si="92"/>
        <v>41.86</v>
      </c>
      <c r="P59" s="85">
        <f t="shared" si="93"/>
        <v>1.18</v>
      </c>
      <c r="Q59" s="18">
        <f t="shared" ref="Q59:Q73" si="94">C45</f>
        <v>107.65</v>
      </c>
      <c r="R59" s="18">
        <f>C44</f>
        <v>86.79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4">
        <f t="shared" si="79"/>
        <v>252.67000000000002</v>
      </c>
      <c r="AI59" s="19"/>
      <c r="AJ59" s="5">
        <v>2032</v>
      </c>
      <c r="AK59" s="19">
        <f t="shared" si="59"/>
        <v>0</v>
      </c>
      <c r="AL59" s="19">
        <f t="shared" si="60"/>
        <v>0</v>
      </c>
      <c r="AM59" s="19">
        <f t="shared" si="61"/>
        <v>0</v>
      </c>
      <c r="AN59" s="19">
        <f t="shared" si="62"/>
        <v>0</v>
      </c>
      <c r="AO59" s="19">
        <f t="shared" si="63"/>
        <v>0</v>
      </c>
      <c r="AP59" s="19">
        <f t="shared" si="64"/>
        <v>0</v>
      </c>
      <c r="AQ59" s="19">
        <f t="shared" si="65"/>
        <v>0</v>
      </c>
      <c r="AR59" s="19">
        <f t="shared" si="66"/>
        <v>0</v>
      </c>
      <c r="AS59" s="19">
        <f t="shared" si="67"/>
        <v>145.81952291766902</v>
      </c>
      <c r="AT59" s="19">
        <f t="shared" si="68"/>
        <v>456.81368727389184</v>
      </c>
      <c r="AU59" s="19">
        <f t="shared" si="69"/>
        <v>105.66257034187561</v>
      </c>
      <c r="AV59" s="19">
        <f t="shared" si="70"/>
        <v>94.711543175099123</v>
      </c>
      <c r="AW59" s="19">
        <f t="shared" si="71"/>
        <v>3541.5950455564293</v>
      </c>
      <c r="AX59" s="19">
        <f t="shared" si="72"/>
        <v>113.27292416610918</v>
      </c>
      <c r="AY59" s="19">
        <f t="shared" si="73"/>
        <v>11539.38248815163</v>
      </c>
      <c r="AZ59" s="19">
        <f t="shared" si="74"/>
        <v>825.67613856113906</v>
      </c>
      <c r="BA59" s="19">
        <f t="shared" si="75"/>
        <v>0</v>
      </c>
      <c r="BB59" s="19">
        <f t="shared" si="75"/>
        <v>0</v>
      </c>
      <c r="BC59" s="19">
        <f t="shared" si="75"/>
        <v>0</v>
      </c>
      <c r="BD59" s="19">
        <f t="shared" si="75"/>
        <v>0</v>
      </c>
      <c r="BE59" s="19">
        <f t="shared" si="75"/>
        <v>0</v>
      </c>
      <c r="BF59" s="19">
        <f t="shared" si="75"/>
        <v>0</v>
      </c>
      <c r="BG59" s="19">
        <f t="shared" si="75"/>
        <v>0</v>
      </c>
      <c r="BH59" s="19">
        <f t="shared" si="75"/>
        <v>0</v>
      </c>
      <c r="BI59" s="19">
        <f t="shared" si="75"/>
        <v>0</v>
      </c>
      <c r="BJ59" s="19">
        <f t="shared" si="75"/>
        <v>0</v>
      </c>
      <c r="BK59" s="19">
        <f t="shared" si="75"/>
        <v>0</v>
      </c>
      <c r="BL59" s="19">
        <f t="shared" si="75"/>
        <v>0</v>
      </c>
      <c r="BM59" s="19">
        <f t="shared" si="76"/>
        <v>0</v>
      </c>
      <c r="BN59" s="19">
        <f t="shared" si="77"/>
        <v>0</v>
      </c>
      <c r="BO59" s="19">
        <f t="shared" si="78"/>
        <v>0</v>
      </c>
      <c r="BP59" s="24">
        <f t="shared" si="80"/>
        <v>16822.933920143845</v>
      </c>
      <c r="BR59" s="6"/>
    </row>
    <row r="60" spans="2:70">
      <c r="B60" s="5">
        <v>2033</v>
      </c>
      <c r="C60" s="80">
        <f>'Project area'!E25</f>
        <v>0</v>
      </c>
      <c r="D60" s="19">
        <f t="shared" si="81"/>
        <v>0</v>
      </c>
      <c r="E60" s="19">
        <f t="shared" si="82"/>
        <v>0</v>
      </c>
      <c r="F60" s="19">
        <f t="shared" si="83"/>
        <v>0</v>
      </c>
      <c r="G60" s="19">
        <f t="shared" si="84"/>
        <v>0</v>
      </c>
      <c r="H60" s="19">
        <f t="shared" si="85"/>
        <v>0</v>
      </c>
      <c r="I60" s="19">
        <f t="shared" si="86"/>
        <v>0</v>
      </c>
      <c r="J60" s="19">
        <f t="shared" si="87"/>
        <v>0</v>
      </c>
      <c r="K60" s="19">
        <f t="shared" si="88"/>
        <v>0</v>
      </c>
      <c r="L60" s="19">
        <f t="shared" si="89"/>
        <v>3.4399999999999995</v>
      </c>
      <c r="M60" s="19">
        <f t="shared" si="90"/>
        <v>8.77</v>
      </c>
      <c r="N60" s="18">
        <f t="shared" si="91"/>
        <v>1.69</v>
      </c>
      <c r="O60" s="18">
        <f t="shared" si="92"/>
        <v>1.29</v>
      </c>
      <c r="P60" s="85">
        <f t="shared" si="93"/>
        <v>41.86</v>
      </c>
      <c r="Q60" s="18">
        <f t="shared" si="94"/>
        <v>1.18</v>
      </c>
      <c r="R60" s="18">
        <f t="shared" ref="R60:R73" si="95">C45</f>
        <v>107.65</v>
      </c>
      <c r="S60" s="18">
        <f>C44</f>
        <v>86.79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4">
        <f t="shared" si="79"/>
        <v>252.67000000000002</v>
      </c>
      <c r="AI60" s="19"/>
      <c r="AJ60" s="5">
        <v>2033</v>
      </c>
      <c r="AK60" s="19">
        <f t="shared" si="59"/>
        <v>0</v>
      </c>
      <c r="AL60" s="19">
        <f t="shared" si="60"/>
        <v>0</v>
      </c>
      <c r="AM60" s="19">
        <f t="shared" si="61"/>
        <v>0</v>
      </c>
      <c r="AN60" s="19">
        <f t="shared" si="62"/>
        <v>0</v>
      </c>
      <c r="AO60" s="19">
        <f t="shared" si="63"/>
        <v>0</v>
      </c>
      <c r="AP60" s="19">
        <f t="shared" si="64"/>
        <v>0</v>
      </c>
      <c r="AQ60" s="19">
        <f t="shared" si="65"/>
        <v>0</v>
      </c>
      <c r="AR60" s="19">
        <f t="shared" si="66"/>
        <v>0</v>
      </c>
      <c r="AS60" s="19">
        <f t="shared" si="67"/>
        <v>0</v>
      </c>
      <c r="AT60" s="19">
        <f t="shared" si="68"/>
        <v>179.18347596604193</v>
      </c>
      <c r="AU60" s="19">
        <f t="shared" si="69"/>
        <v>548.31996562026575</v>
      </c>
      <c r="AV60" s="19">
        <f t="shared" si="70"/>
        <v>124.07946353947094</v>
      </c>
      <c r="AW60" s="19">
        <f t="shared" si="71"/>
        <v>109.14136666908252</v>
      </c>
      <c r="AX60" s="19">
        <f t="shared" si="72"/>
        <v>4018.3089877909579</v>
      </c>
      <c r="AY60" s="19">
        <f t="shared" si="73"/>
        <v>126.48835425934902</v>
      </c>
      <c r="AZ60" s="19">
        <f t="shared" si="74"/>
        <v>1024.1276220314162</v>
      </c>
      <c r="BA60" s="19">
        <f t="shared" ref="BA60:BL73" si="96">S60*BA$74</f>
        <v>888.60387651295559</v>
      </c>
      <c r="BB60" s="19">
        <f t="shared" si="96"/>
        <v>0</v>
      </c>
      <c r="BC60" s="19">
        <f t="shared" si="96"/>
        <v>0</v>
      </c>
      <c r="BD60" s="19">
        <f t="shared" si="96"/>
        <v>0</v>
      </c>
      <c r="BE60" s="19">
        <f t="shared" si="96"/>
        <v>0</v>
      </c>
      <c r="BF60" s="19">
        <f t="shared" si="96"/>
        <v>0</v>
      </c>
      <c r="BG60" s="19">
        <f t="shared" si="96"/>
        <v>0</v>
      </c>
      <c r="BH60" s="19">
        <f t="shared" si="96"/>
        <v>0</v>
      </c>
      <c r="BI60" s="19">
        <f t="shared" si="96"/>
        <v>0</v>
      </c>
      <c r="BJ60" s="19">
        <f t="shared" si="96"/>
        <v>0</v>
      </c>
      <c r="BK60" s="19">
        <f t="shared" si="96"/>
        <v>0</v>
      </c>
      <c r="BL60" s="19">
        <f t="shared" si="96"/>
        <v>0</v>
      </c>
      <c r="BM60" s="19">
        <f t="shared" si="76"/>
        <v>0</v>
      </c>
      <c r="BN60" s="19">
        <f t="shared" si="77"/>
        <v>0</v>
      </c>
      <c r="BO60" s="19">
        <f t="shared" si="78"/>
        <v>0</v>
      </c>
      <c r="BP60" s="24">
        <f t="shared" si="80"/>
        <v>7018.2531123895405</v>
      </c>
      <c r="BR60" s="6"/>
    </row>
    <row r="61" spans="2:70">
      <c r="B61" s="5">
        <v>2034</v>
      </c>
      <c r="C61" s="80">
        <f>'Project area'!E26</f>
        <v>0</v>
      </c>
      <c r="D61" s="19">
        <f t="shared" si="81"/>
        <v>0</v>
      </c>
      <c r="E61" s="19">
        <f t="shared" si="82"/>
        <v>0</v>
      </c>
      <c r="F61" s="19">
        <f t="shared" si="83"/>
        <v>0</v>
      </c>
      <c r="G61" s="19">
        <f t="shared" si="84"/>
        <v>0</v>
      </c>
      <c r="H61" s="19">
        <f t="shared" si="85"/>
        <v>0</v>
      </c>
      <c r="I61" s="19">
        <f t="shared" si="86"/>
        <v>0</v>
      </c>
      <c r="J61" s="19">
        <f t="shared" si="87"/>
        <v>0</v>
      </c>
      <c r="K61" s="19">
        <f t="shared" si="88"/>
        <v>0</v>
      </c>
      <c r="L61" s="19">
        <f t="shared" si="89"/>
        <v>0</v>
      </c>
      <c r="M61" s="19">
        <f t="shared" si="90"/>
        <v>3.4399999999999995</v>
      </c>
      <c r="N61" s="18">
        <f t="shared" si="91"/>
        <v>8.77</v>
      </c>
      <c r="O61" s="18">
        <f t="shared" si="92"/>
        <v>1.69</v>
      </c>
      <c r="P61" s="85">
        <f t="shared" si="93"/>
        <v>1.29</v>
      </c>
      <c r="Q61" s="18">
        <f t="shared" si="94"/>
        <v>41.86</v>
      </c>
      <c r="R61" s="18">
        <f t="shared" si="95"/>
        <v>1.18</v>
      </c>
      <c r="S61" s="18">
        <f t="shared" ref="S61:S73" si="97">C45</f>
        <v>107.65</v>
      </c>
      <c r="T61" s="18">
        <f>C44</f>
        <v>86.79</v>
      </c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4">
        <f t="shared" si="79"/>
        <v>252.67000000000002</v>
      </c>
      <c r="AI61" s="19"/>
      <c r="AJ61" s="5">
        <v>2034</v>
      </c>
      <c r="AK61" s="19">
        <f t="shared" si="59"/>
        <v>0</v>
      </c>
      <c r="AL61" s="19">
        <f t="shared" si="60"/>
        <v>0</v>
      </c>
      <c r="AM61" s="19">
        <f t="shared" si="61"/>
        <v>0</v>
      </c>
      <c r="AN61" s="19">
        <f t="shared" si="62"/>
        <v>0</v>
      </c>
      <c r="AO61" s="19">
        <f t="shared" si="63"/>
        <v>0</v>
      </c>
      <c r="AP61" s="19">
        <f t="shared" si="64"/>
        <v>0</v>
      </c>
      <c r="AQ61" s="19">
        <f t="shared" si="65"/>
        <v>0</v>
      </c>
      <c r="AR61" s="19">
        <f t="shared" si="66"/>
        <v>0</v>
      </c>
      <c r="AS61" s="19">
        <f t="shared" si="67"/>
        <v>0</v>
      </c>
      <c r="AT61" s="19">
        <f t="shared" si="68"/>
        <v>0</v>
      </c>
      <c r="AU61" s="19">
        <f t="shared" si="69"/>
        <v>215.07647454204263</v>
      </c>
      <c r="AV61" s="19">
        <f t="shared" si="70"/>
        <v>643.89165398885211</v>
      </c>
      <c r="AW61" s="19">
        <f t="shared" si="71"/>
        <v>142.98365090755769</v>
      </c>
      <c r="AX61" s="19">
        <f t="shared" si="72"/>
        <v>123.8322645544753</v>
      </c>
      <c r="AY61" s="19">
        <f t="shared" si="73"/>
        <v>4487.120770590127</v>
      </c>
      <c r="AZ61" s="19">
        <f t="shared" si="74"/>
        <v>11.225922842518077</v>
      </c>
      <c r="BA61" s="19">
        <f t="shared" si="96"/>
        <v>1102.1800588388026</v>
      </c>
      <c r="BB61" s="19">
        <f t="shared" si="96"/>
        <v>1109.0108893369331</v>
      </c>
      <c r="BC61" s="19">
        <f t="shared" si="96"/>
        <v>0</v>
      </c>
      <c r="BD61" s="19">
        <f t="shared" si="96"/>
        <v>0</v>
      </c>
      <c r="BE61" s="19">
        <f t="shared" si="96"/>
        <v>0</v>
      </c>
      <c r="BF61" s="19">
        <f t="shared" si="96"/>
        <v>0</v>
      </c>
      <c r="BG61" s="19">
        <f t="shared" si="96"/>
        <v>0</v>
      </c>
      <c r="BH61" s="19">
        <f t="shared" si="96"/>
        <v>0</v>
      </c>
      <c r="BI61" s="19">
        <f t="shared" si="96"/>
        <v>0</v>
      </c>
      <c r="BJ61" s="19">
        <f t="shared" si="96"/>
        <v>0</v>
      </c>
      <c r="BK61" s="19">
        <f t="shared" si="96"/>
        <v>0</v>
      </c>
      <c r="BL61" s="19">
        <f t="shared" si="96"/>
        <v>0</v>
      </c>
      <c r="BM61" s="19">
        <f t="shared" si="76"/>
        <v>0</v>
      </c>
      <c r="BN61" s="19">
        <f t="shared" si="77"/>
        <v>0</v>
      </c>
      <c r="BO61" s="19">
        <f t="shared" si="78"/>
        <v>0</v>
      </c>
      <c r="BP61" s="24">
        <f t="shared" si="80"/>
        <v>7835.3216856013087</v>
      </c>
      <c r="BR61" s="6"/>
    </row>
    <row r="62" spans="2:70">
      <c r="B62" s="5">
        <v>2035</v>
      </c>
      <c r="C62" s="80">
        <f>'Project area'!E27</f>
        <v>0</v>
      </c>
      <c r="D62" s="19">
        <f t="shared" si="81"/>
        <v>0</v>
      </c>
      <c r="E62" s="19">
        <f t="shared" si="82"/>
        <v>0</v>
      </c>
      <c r="F62" s="19">
        <f t="shared" si="83"/>
        <v>0</v>
      </c>
      <c r="G62" s="19">
        <f t="shared" si="84"/>
        <v>0</v>
      </c>
      <c r="H62" s="19">
        <f t="shared" si="85"/>
        <v>0</v>
      </c>
      <c r="I62" s="19">
        <f t="shared" si="86"/>
        <v>0</v>
      </c>
      <c r="J62" s="19">
        <f t="shared" si="87"/>
        <v>0</v>
      </c>
      <c r="K62" s="19">
        <f t="shared" si="88"/>
        <v>0</v>
      </c>
      <c r="L62" s="19">
        <f t="shared" si="89"/>
        <v>0</v>
      </c>
      <c r="M62" s="19">
        <f t="shared" si="90"/>
        <v>0</v>
      </c>
      <c r="N62" s="18">
        <f t="shared" si="91"/>
        <v>3.4399999999999995</v>
      </c>
      <c r="O62" s="18">
        <f t="shared" si="92"/>
        <v>8.77</v>
      </c>
      <c r="P62" s="85">
        <f t="shared" si="93"/>
        <v>1.69</v>
      </c>
      <c r="Q62" s="18">
        <f t="shared" si="94"/>
        <v>1.29</v>
      </c>
      <c r="R62" s="18">
        <f t="shared" si="95"/>
        <v>41.86</v>
      </c>
      <c r="S62" s="18">
        <f t="shared" si="97"/>
        <v>1.18</v>
      </c>
      <c r="T62" s="18">
        <f t="shared" ref="T62:T73" si="98">C45</f>
        <v>107.65</v>
      </c>
      <c r="U62" s="18">
        <f>C44</f>
        <v>86.79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4">
        <f t="shared" si="79"/>
        <v>252.67000000000002</v>
      </c>
      <c r="AI62" s="19"/>
      <c r="AJ62" s="5">
        <v>2035</v>
      </c>
      <c r="AK62" s="19">
        <f t="shared" si="59"/>
        <v>0</v>
      </c>
      <c r="AL62" s="19">
        <f t="shared" si="60"/>
        <v>0</v>
      </c>
      <c r="AM62" s="19">
        <f t="shared" si="61"/>
        <v>0</v>
      </c>
      <c r="AN62" s="19">
        <f t="shared" si="62"/>
        <v>0</v>
      </c>
      <c r="AO62" s="19">
        <f t="shared" si="63"/>
        <v>0</v>
      </c>
      <c r="AP62" s="19">
        <f t="shared" si="64"/>
        <v>0</v>
      </c>
      <c r="AQ62" s="19">
        <f t="shared" si="65"/>
        <v>0</v>
      </c>
      <c r="AR62" s="19">
        <f t="shared" si="66"/>
        <v>0</v>
      </c>
      <c r="AS62" s="19">
        <f t="shared" si="67"/>
        <v>0</v>
      </c>
      <c r="AT62" s="19">
        <f t="shared" si="68"/>
        <v>0</v>
      </c>
      <c r="AU62" s="19">
        <f t="shared" si="69"/>
        <v>0</v>
      </c>
      <c r="AV62" s="19">
        <f t="shared" si="70"/>
        <v>252.56411513359762</v>
      </c>
      <c r="AW62" s="19">
        <f t="shared" si="71"/>
        <v>741.99208192856861</v>
      </c>
      <c r="AX62" s="19">
        <f t="shared" si="72"/>
        <v>162.22986596671569</v>
      </c>
      <c r="AY62" s="19">
        <f t="shared" si="73"/>
        <v>138.27964152081375</v>
      </c>
      <c r="AZ62" s="19">
        <f t="shared" si="74"/>
        <v>398.23485609136168</v>
      </c>
      <c r="BA62" s="19">
        <f t="shared" si="96"/>
        <v>12.081490658892585</v>
      </c>
      <c r="BB62" s="19">
        <f t="shared" si="96"/>
        <v>1375.5619568743041</v>
      </c>
      <c r="BC62" s="19">
        <f t="shared" si="96"/>
        <v>1504.916126618084</v>
      </c>
      <c r="BD62" s="19">
        <f t="shared" si="96"/>
        <v>0</v>
      </c>
      <c r="BE62" s="19">
        <f t="shared" si="96"/>
        <v>0</v>
      </c>
      <c r="BF62" s="19">
        <f t="shared" si="96"/>
        <v>0</v>
      </c>
      <c r="BG62" s="19">
        <f t="shared" si="96"/>
        <v>0</v>
      </c>
      <c r="BH62" s="19">
        <f t="shared" si="96"/>
        <v>0</v>
      </c>
      <c r="BI62" s="19">
        <f t="shared" si="96"/>
        <v>0</v>
      </c>
      <c r="BJ62" s="19">
        <f t="shared" si="96"/>
        <v>0</v>
      </c>
      <c r="BK62" s="19">
        <f t="shared" si="96"/>
        <v>0</v>
      </c>
      <c r="BL62" s="19">
        <f t="shared" si="96"/>
        <v>0</v>
      </c>
      <c r="BM62" s="19">
        <f t="shared" si="76"/>
        <v>0</v>
      </c>
      <c r="BN62" s="19">
        <f t="shared" si="77"/>
        <v>0</v>
      </c>
      <c r="BO62" s="19">
        <f t="shared" si="78"/>
        <v>0</v>
      </c>
      <c r="BP62" s="24">
        <f t="shared" si="80"/>
        <v>4585.8601347923377</v>
      </c>
      <c r="BR62" s="6"/>
    </row>
    <row r="63" spans="2:70">
      <c r="B63" s="5">
        <v>2036</v>
      </c>
      <c r="C63" s="80">
        <f>'Project area'!E28</f>
        <v>0</v>
      </c>
      <c r="D63" s="19">
        <f t="shared" si="81"/>
        <v>0</v>
      </c>
      <c r="E63" s="19">
        <f t="shared" si="82"/>
        <v>0</v>
      </c>
      <c r="F63" s="19">
        <f t="shared" si="83"/>
        <v>0</v>
      </c>
      <c r="G63" s="19">
        <f t="shared" si="84"/>
        <v>0</v>
      </c>
      <c r="H63" s="19">
        <f t="shared" si="85"/>
        <v>0</v>
      </c>
      <c r="I63" s="19">
        <f t="shared" si="86"/>
        <v>0</v>
      </c>
      <c r="J63" s="19">
        <f t="shared" si="87"/>
        <v>0</v>
      </c>
      <c r="K63" s="19">
        <f t="shared" si="88"/>
        <v>0</v>
      </c>
      <c r="L63" s="19">
        <f t="shared" si="89"/>
        <v>0</v>
      </c>
      <c r="M63" s="19">
        <f t="shared" si="90"/>
        <v>0</v>
      </c>
      <c r="N63" s="18">
        <f t="shared" si="91"/>
        <v>0</v>
      </c>
      <c r="O63" s="18">
        <f t="shared" si="92"/>
        <v>3.4399999999999995</v>
      </c>
      <c r="P63" s="85">
        <f t="shared" si="93"/>
        <v>8.77</v>
      </c>
      <c r="Q63" s="18">
        <f t="shared" si="94"/>
        <v>1.69</v>
      </c>
      <c r="R63" s="18">
        <f t="shared" si="95"/>
        <v>1.29</v>
      </c>
      <c r="S63" s="18">
        <f t="shared" si="97"/>
        <v>41.86</v>
      </c>
      <c r="T63" s="18">
        <f t="shared" si="98"/>
        <v>1.18</v>
      </c>
      <c r="U63" s="18">
        <f t="shared" ref="U63:U73" si="99">C45</f>
        <v>107.65</v>
      </c>
      <c r="V63" s="18">
        <f>C44</f>
        <v>86.79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4">
        <f t="shared" si="79"/>
        <v>252.67000000000002</v>
      </c>
      <c r="AI63" s="19"/>
      <c r="AJ63" s="5">
        <v>2036</v>
      </c>
      <c r="AK63" s="19">
        <f t="shared" si="59"/>
        <v>0</v>
      </c>
      <c r="AL63" s="19">
        <f t="shared" si="60"/>
        <v>0</v>
      </c>
      <c r="AM63" s="19">
        <f t="shared" si="61"/>
        <v>0</v>
      </c>
      <c r="AN63" s="19">
        <f t="shared" si="62"/>
        <v>0</v>
      </c>
      <c r="AO63" s="19">
        <f t="shared" si="63"/>
        <v>0</v>
      </c>
      <c r="AP63" s="19">
        <f t="shared" si="64"/>
        <v>0</v>
      </c>
      <c r="AQ63" s="19">
        <f t="shared" si="65"/>
        <v>0</v>
      </c>
      <c r="AR63" s="19">
        <f t="shared" si="66"/>
        <v>0</v>
      </c>
      <c r="AS63" s="19">
        <f t="shared" si="67"/>
        <v>0</v>
      </c>
      <c r="AT63" s="19">
        <f t="shared" si="68"/>
        <v>0</v>
      </c>
      <c r="AU63" s="19">
        <f t="shared" si="69"/>
        <v>0</v>
      </c>
      <c r="AV63" s="19">
        <f t="shared" si="70"/>
        <v>0</v>
      </c>
      <c r="AW63" s="19">
        <f t="shared" si="71"/>
        <v>291.04364445088663</v>
      </c>
      <c r="AX63" s="19">
        <f t="shared" si="72"/>
        <v>841.86741096337073</v>
      </c>
      <c r="AY63" s="19">
        <f t="shared" si="73"/>
        <v>181.15704974432191</v>
      </c>
      <c r="AZ63" s="19">
        <f t="shared" si="74"/>
        <v>12.272407175295188</v>
      </c>
      <c r="BA63" s="19">
        <f t="shared" si="96"/>
        <v>428.58576184851159</v>
      </c>
      <c r="BB63" s="19">
        <f t="shared" si="96"/>
        <v>15.078152430206025</v>
      </c>
      <c r="BC63" s="19">
        <f t="shared" si="96"/>
        <v>1866.6231251346553</v>
      </c>
      <c r="BD63" s="19">
        <f t="shared" si="96"/>
        <v>2090.6508839737266</v>
      </c>
      <c r="BE63" s="19">
        <f t="shared" si="96"/>
        <v>0</v>
      </c>
      <c r="BF63" s="19">
        <f t="shared" si="96"/>
        <v>0</v>
      </c>
      <c r="BG63" s="19">
        <f t="shared" si="96"/>
        <v>0</v>
      </c>
      <c r="BH63" s="19">
        <f t="shared" si="96"/>
        <v>0</v>
      </c>
      <c r="BI63" s="19">
        <f t="shared" si="96"/>
        <v>0</v>
      </c>
      <c r="BJ63" s="19">
        <f t="shared" si="96"/>
        <v>0</v>
      </c>
      <c r="BK63" s="19">
        <f t="shared" si="96"/>
        <v>0</v>
      </c>
      <c r="BL63" s="19">
        <f t="shared" si="96"/>
        <v>0</v>
      </c>
      <c r="BM63" s="19">
        <f t="shared" si="76"/>
        <v>0</v>
      </c>
      <c r="BN63" s="19">
        <f t="shared" si="77"/>
        <v>0</v>
      </c>
      <c r="BO63" s="19">
        <f t="shared" si="78"/>
        <v>0</v>
      </c>
      <c r="BP63" s="24">
        <f t="shared" si="80"/>
        <v>5727.2784357209748</v>
      </c>
      <c r="BR63" s="6"/>
    </row>
    <row r="64" spans="2:70">
      <c r="B64" s="5">
        <v>2037</v>
      </c>
      <c r="C64" s="80">
        <f>'Project area'!E29</f>
        <v>0</v>
      </c>
      <c r="D64" s="19">
        <f t="shared" si="81"/>
        <v>0</v>
      </c>
      <c r="E64" s="19">
        <f t="shared" si="82"/>
        <v>0</v>
      </c>
      <c r="F64" s="19">
        <f t="shared" si="83"/>
        <v>0</v>
      </c>
      <c r="G64" s="19">
        <f t="shared" si="84"/>
        <v>0</v>
      </c>
      <c r="H64" s="19">
        <f t="shared" si="85"/>
        <v>0</v>
      </c>
      <c r="I64" s="19">
        <f t="shared" si="86"/>
        <v>0</v>
      </c>
      <c r="J64" s="19">
        <f t="shared" si="87"/>
        <v>0</v>
      </c>
      <c r="K64" s="19">
        <f t="shared" si="88"/>
        <v>0</v>
      </c>
      <c r="L64" s="19">
        <f t="shared" si="89"/>
        <v>0</v>
      </c>
      <c r="M64" s="19">
        <f t="shared" si="90"/>
        <v>0</v>
      </c>
      <c r="N64" s="18">
        <f t="shared" si="91"/>
        <v>0</v>
      </c>
      <c r="O64" s="18">
        <f t="shared" si="92"/>
        <v>0</v>
      </c>
      <c r="P64" s="85">
        <f t="shared" si="93"/>
        <v>3.4399999999999995</v>
      </c>
      <c r="Q64" s="18">
        <f t="shared" si="94"/>
        <v>8.77</v>
      </c>
      <c r="R64" s="18">
        <f t="shared" si="95"/>
        <v>1.69</v>
      </c>
      <c r="S64" s="18">
        <f t="shared" si="97"/>
        <v>1.29</v>
      </c>
      <c r="T64" s="18">
        <f t="shared" si="98"/>
        <v>41.86</v>
      </c>
      <c r="U64" s="18">
        <f t="shared" si="99"/>
        <v>1.18</v>
      </c>
      <c r="V64" s="18">
        <f t="shared" ref="V64:V73" si="100">C45</f>
        <v>107.65</v>
      </c>
      <c r="W64" s="18">
        <f>C44</f>
        <v>86.79</v>
      </c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4">
        <f t="shared" si="79"/>
        <v>252.67000000000002</v>
      </c>
      <c r="AI64" s="19"/>
      <c r="AJ64" s="5">
        <v>2037</v>
      </c>
      <c r="AK64" s="19">
        <f t="shared" si="59"/>
        <v>0</v>
      </c>
      <c r="AL64" s="19">
        <f t="shared" si="60"/>
        <v>0</v>
      </c>
      <c r="AM64" s="19">
        <f t="shared" si="61"/>
        <v>0</v>
      </c>
      <c r="AN64" s="19">
        <f t="shared" si="62"/>
        <v>0</v>
      </c>
      <c r="AO64" s="19">
        <f t="shared" si="63"/>
        <v>0</v>
      </c>
      <c r="AP64" s="19">
        <f t="shared" si="64"/>
        <v>0</v>
      </c>
      <c r="AQ64" s="19">
        <f t="shared" si="65"/>
        <v>0</v>
      </c>
      <c r="AR64" s="19">
        <f t="shared" si="66"/>
        <v>0</v>
      </c>
      <c r="AS64" s="19">
        <f t="shared" si="67"/>
        <v>0</v>
      </c>
      <c r="AT64" s="19">
        <f t="shared" si="68"/>
        <v>0</v>
      </c>
      <c r="AU64" s="19">
        <f t="shared" si="69"/>
        <v>0</v>
      </c>
      <c r="AV64" s="19">
        <f t="shared" si="70"/>
        <v>0</v>
      </c>
      <c r="AW64" s="19">
        <f t="shared" si="71"/>
        <v>0</v>
      </c>
      <c r="AX64" s="19">
        <f t="shared" si="72"/>
        <v>330.21937214526741</v>
      </c>
      <c r="AY64" s="19">
        <f t="shared" si="73"/>
        <v>940.08717530041599</v>
      </c>
      <c r="AZ64" s="19">
        <f t="shared" si="74"/>
        <v>16.077804749030129</v>
      </c>
      <c r="BA64" s="19">
        <f t="shared" si="96"/>
        <v>13.207731313535117</v>
      </c>
      <c r="BB64" s="19">
        <f t="shared" si="96"/>
        <v>534.89106841391879</v>
      </c>
      <c r="BC64" s="19">
        <f t="shared" si="96"/>
        <v>20.460894451081217</v>
      </c>
      <c r="BD64" s="19">
        <f t="shared" si="96"/>
        <v>2593.1393900192616</v>
      </c>
      <c r="BE64" s="19">
        <f t="shared" si="96"/>
        <v>2853.6562768732024</v>
      </c>
      <c r="BF64" s="19">
        <f t="shared" si="96"/>
        <v>0</v>
      </c>
      <c r="BG64" s="19">
        <f t="shared" si="96"/>
        <v>0</v>
      </c>
      <c r="BH64" s="19">
        <f t="shared" si="96"/>
        <v>0</v>
      </c>
      <c r="BI64" s="19">
        <f t="shared" si="96"/>
        <v>0</v>
      </c>
      <c r="BJ64" s="19">
        <f t="shared" si="96"/>
        <v>0</v>
      </c>
      <c r="BK64" s="19">
        <f t="shared" si="96"/>
        <v>0</v>
      </c>
      <c r="BL64" s="19">
        <f t="shared" si="96"/>
        <v>0</v>
      </c>
      <c r="BM64" s="19">
        <f t="shared" si="76"/>
        <v>0</v>
      </c>
      <c r="BN64" s="19">
        <f t="shared" si="77"/>
        <v>0</v>
      </c>
      <c r="BO64" s="19">
        <f t="shared" si="78"/>
        <v>0</v>
      </c>
      <c r="BP64" s="24">
        <f t="shared" si="80"/>
        <v>7301.7397132657134</v>
      </c>
      <c r="BR64" s="6"/>
    </row>
    <row r="65" spans="1:70">
      <c r="B65" s="5">
        <v>2038</v>
      </c>
      <c r="C65" s="80">
        <f>'Project area'!E30</f>
        <v>0</v>
      </c>
      <c r="D65" s="19">
        <f t="shared" si="81"/>
        <v>0</v>
      </c>
      <c r="E65" s="19">
        <f t="shared" si="82"/>
        <v>0</v>
      </c>
      <c r="F65" s="19">
        <f t="shared" si="83"/>
        <v>0</v>
      </c>
      <c r="G65" s="19">
        <f t="shared" si="84"/>
        <v>0</v>
      </c>
      <c r="H65" s="19">
        <f t="shared" si="85"/>
        <v>0</v>
      </c>
      <c r="I65" s="19">
        <f t="shared" si="86"/>
        <v>0</v>
      </c>
      <c r="J65" s="19">
        <f t="shared" si="87"/>
        <v>0</v>
      </c>
      <c r="K65" s="19">
        <f t="shared" si="88"/>
        <v>0</v>
      </c>
      <c r="L65" s="19">
        <f t="shared" si="89"/>
        <v>0</v>
      </c>
      <c r="M65" s="19">
        <f t="shared" si="90"/>
        <v>0</v>
      </c>
      <c r="N65" s="18">
        <f t="shared" si="91"/>
        <v>0</v>
      </c>
      <c r="O65" s="18">
        <f t="shared" si="92"/>
        <v>0</v>
      </c>
      <c r="P65" s="85">
        <f t="shared" si="93"/>
        <v>0</v>
      </c>
      <c r="Q65" s="18">
        <f t="shared" si="94"/>
        <v>3.4399999999999995</v>
      </c>
      <c r="R65" s="18">
        <f t="shared" si="95"/>
        <v>8.77</v>
      </c>
      <c r="S65" s="18">
        <f t="shared" si="97"/>
        <v>1.69</v>
      </c>
      <c r="T65" s="18">
        <f t="shared" si="98"/>
        <v>1.29</v>
      </c>
      <c r="U65" s="18">
        <f t="shared" si="99"/>
        <v>41.86</v>
      </c>
      <c r="V65" s="18">
        <f t="shared" si="100"/>
        <v>1.18</v>
      </c>
      <c r="W65" s="18">
        <f t="shared" ref="W65:W73" si="101">C45</f>
        <v>107.65</v>
      </c>
      <c r="X65" s="18">
        <f>C44</f>
        <v>86.79</v>
      </c>
      <c r="Y65" s="18"/>
      <c r="Z65" s="18"/>
      <c r="AA65" s="18"/>
      <c r="AB65" s="18"/>
      <c r="AC65" s="18"/>
      <c r="AD65" s="18"/>
      <c r="AE65" s="18"/>
      <c r="AF65" s="18"/>
      <c r="AG65" s="18"/>
      <c r="AH65" s="24">
        <f t="shared" si="79"/>
        <v>252.67000000000002</v>
      </c>
      <c r="AJ65" s="5">
        <v>2038</v>
      </c>
      <c r="AK65" s="19">
        <f t="shared" si="59"/>
        <v>0</v>
      </c>
      <c r="AL65" s="19">
        <f t="shared" si="60"/>
        <v>0</v>
      </c>
      <c r="AM65" s="19">
        <f t="shared" si="61"/>
        <v>0</v>
      </c>
      <c r="AN65" s="19">
        <f t="shared" si="62"/>
        <v>0</v>
      </c>
      <c r="AO65" s="19">
        <f t="shared" si="63"/>
        <v>0</v>
      </c>
      <c r="AP65" s="19">
        <f t="shared" si="64"/>
        <v>0</v>
      </c>
      <c r="AQ65" s="19">
        <f t="shared" si="65"/>
        <v>0</v>
      </c>
      <c r="AR65" s="19">
        <f t="shared" si="66"/>
        <v>0</v>
      </c>
      <c r="AS65" s="19">
        <f t="shared" si="67"/>
        <v>0</v>
      </c>
      <c r="AT65" s="19">
        <f t="shared" si="68"/>
        <v>0</v>
      </c>
      <c r="AU65" s="19">
        <f t="shared" si="69"/>
        <v>0</v>
      </c>
      <c r="AV65" s="19">
        <f t="shared" si="70"/>
        <v>0</v>
      </c>
      <c r="AW65" s="19">
        <f t="shared" si="71"/>
        <v>0</v>
      </c>
      <c r="AX65" s="19">
        <f t="shared" si="72"/>
        <v>0</v>
      </c>
      <c r="AY65" s="19">
        <f t="shared" si="73"/>
        <v>368.74571072216997</v>
      </c>
      <c r="AZ65" s="19">
        <f t="shared" si="74"/>
        <v>83.433341804138593</v>
      </c>
      <c r="BA65" s="19">
        <f t="shared" si="96"/>
        <v>17.303151875871585</v>
      </c>
      <c r="BB65" s="19">
        <f t="shared" si="96"/>
        <v>16.483742910987942</v>
      </c>
      <c r="BC65" s="19">
        <f t="shared" si="96"/>
        <v>725.84156078157616</v>
      </c>
      <c r="BD65" s="19">
        <f t="shared" si="96"/>
        <v>28.424565538529755</v>
      </c>
      <c r="BE65" s="19">
        <f t="shared" si="96"/>
        <v>3539.5333356999681</v>
      </c>
      <c r="BF65" s="19">
        <f t="shared" si="96"/>
        <v>3764.6547344539504</v>
      </c>
      <c r="BG65" s="19">
        <f t="shared" si="96"/>
        <v>0</v>
      </c>
      <c r="BH65" s="19">
        <f t="shared" si="96"/>
        <v>0</v>
      </c>
      <c r="BI65" s="19">
        <f t="shared" si="96"/>
        <v>0</v>
      </c>
      <c r="BJ65" s="19">
        <f t="shared" si="96"/>
        <v>0</v>
      </c>
      <c r="BK65" s="19">
        <f t="shared" si="96"/>
        <v>0</v>
      </c>
      <c r="BL65" s="19">
        <f t="shared" si="96"/>
        <v>0</v>
      </c>
      <c r="BM65" s="19">
        <f t="shared" si="76"/>
        <v>0</v>
      </c>
      <c r="BN65" s="19">
        <f t="shared" si="77"/>
        <v>0</v>
      </c>
      <c r="BO65" s="19">
        <f t="shared" si="78"/>
        <v>0</v>
      </c>
      <c r="BP65" s="24">
        <f t="shared" si="80"/>
        <v>8544.4201437871925</v>
      </c>
      <c r="BR65" s="6"/>
    </row>
    <row r="66" spans="1:70">
      <c r="B66" s="5">
        <v>2039</v>
      </c>
      <c r="C66" s="80">
        <f>'Project area'!E31</f>
        <v>0</v>
      </c>
      <c r="D66" s="19">
        <f t="shared" si="81"/>
        <v>0</v>
      </c>
      <c r="E66" s="19">
        <f t="shared" si="82"/>
        <v>0</v>
      </c>
      <c r="F66" s="19">
        <f t="shared" si="83"/>
        <v>0</v>
      </c>
      <c r="G66" s="19">
        <f t="shared" si="84"/>
        <v>0</v>
      </c>
      <c r="H66" s="19">
        <f t="shared" si="85"/>
        <v>0</v>
      </c>
      <c r="I66" s="19">
        <f t="shared" si="86"/>
        <v>0</v>
      </c>
      <c r="J66" s="19">
        <f t="shared" si="87"/>
        <v>0</v>
      </c>
      <c r="K66" s="19">
        <f t="shared" si="88"/>
        <v>0</v>
      </c>
      <c r="L66" s="19">
        <f t="shared" si="89"/>
        <v>0</v>
      </c>
      <c r="M66" s="19">
        <f t="shared" si="90"/>
        <v>0</v>
      </c>
      <c r="N66" s="18">
        <f t="shared" si="91"/>
        <v>0</v>
      </c>
      <c r="O66" s="18">
        <f t="shared" si="92"/>
        <v>0</v>
      </c>
      <c r="P66" s="85">
        <f t="shared" si="93"/>
        <v>0</v>
      </c>
      <c r="Q66" s="18">
        <f t="shared" si="94"/>
        <v>0</v>
      </c>
      <c r="R66" s="18">
        <f t="shared" si="95"/>
        <v>3.4399999999999995</v>
      </c>
      <c r="S66" s="18">
        <f t="shared" si="97"/>
        <v>8.77</v>
      </c>
      <c r="T66" s="18">
        <f t="shared" si="98"/>
        <v>1.69</v>
      </c>
      <c r="U66" s="18">
        <f t="shared" si="99"/>
        <v>1.29</v>
      </c>
      <c r="V66" s="18">
        <f t="shared" si="100"/>
        <v>41.86</v>
      </c>
      <c r="W66" s="18">
        <f t="shared" si="101"/>
        <v>1.18</v>
      </c>
      <c r="X66" s="18">
        <f t="shared" ref="X66:X73" si="102">C45</f>
        <v>107.65</v>
      </c>
      <c r="Y66" s="18">
        <f>C44</f>
        <v>86.79</v>
      </c>
      <c r="Z66" s="18"/>
      <c r="AA66" s="18"/>
      <c r="AB66" s="18"/>
      <c r="AC66" s="18"/>
      <c r="AD66" s="18"/>
      <c r="AE66" s="18"/>
      <c r="AF66" s="18"/>
      <c r="AG66" s="18"/>
      <c r="AH66" s="24">
        <f t="shared" si="79"/>
        <v>252.67000000000002</v>
      </c>
      <c r="AJ66" s="5">
        <v>2039</v>
      </c>
      <c r="AK66" s="19">
        <f t="shared" si="59"/>
        <v>0</v>
      </c>
      <c r="AL66" s="19">
        <f t="shared" si="60"/>
        <v>0</v>
      </c>
      <c r="AM66" s="19">
        <f t="shared" si="61"/>
        <v>0</v>
      </c>
      <c r="AN66" s="19">
        <f t="shared" si="62"/>
        <v>0</v>
      </c>
      <c r="AO66" s="19">
        <f t="shared" si="63"/>
        <v>0</v>
      </c>
      <c r="AP66" s="19">
        <f t="shared" si="64"/>
        <v>0</v>
      </c>
      <c r="AQ66" s="19">
        <f t="shared" si="65"/>
        <v>0</v>
      </c>
      <c r="AR66" s="19">
        <f t="shared" si="66"/>
        <v>0</v>
      </c>
      <c r="AS66" s="19">
        <f t="shared" si="67"/>
        <v>0</v>
      </c>
      <c r="AT66" s="19">
        <f t="shared" si="68"/>
        <v>0</v>
      </c>
      <c r="AU66" s="19">
        <f t="shared" si="69"/>
        <v>0</v>
      </c>
      <c r="AV66" s="19">
        <f t="shared" si="70"/>
        <v>0</v>
      </c>
      <c r="AW66" s="19">
        <f t="shared" si="71"/>
        <v>0</v>
      </c>
      <c r="AX66" s="19">
        <f t="shared" si="72"/>
        <v>0</v>
      </c>
      <c r="AY66" s="19">
        <f t="shared" si="73"/>
        <v>0</v>
      </c>
      <c r="AZ66" s="19">
        <f t="shared" si="74"/>
        <v>32.726419134120498</v>
      </c>
      <c r="BA66" s="19">
        <f t="shared" si="96"/>
        <v>89.792095829227108</v>
      </c>
      <c r="BB66" s="19">
        <f t="shared" si="96"/>
        <v>21.594981022922187</v>
      </c>
      <c r="BC66" s="19">
        <f t="shared" si="96"/>
        <v>22.368265967707433</v>
      </c>
      <c r="BD66" s="19">
        <f t="shared" si="96"/>
        <v>1008.3494181719115</v>
      </c>
      <c r="BE66" s="19">
        <f t="shared" si="96"/>
        <v>38.798414641207259</v>
      </c>
      <c r="BF66" s="19">
        <f t="shared" si="96"/>
        <v>4669.4905192299539</v>
      </c>
      <c r="BG66" s="19">
        <f t="shared" si="96"/>
        <v>1575.8627041668528</v>
      </c>
      <c r="BH66" s="19">
        <f t="shared" si="96"/>
        <v>0</v>
      </c>
      <c r="BI66" s="19">
        <f t="shared" si="96"/>
        <v>0</v>
      </c>
      <c r="BJ66" s="19">
        <f t="shared" si="96"/>
        <v>0</v>
      </c>
      <c r="BK66" s="19">
        <f t="shared" si="96"/>
        <v>0</v>
      </c>
      <c r="BL66" s="19">
        <f t="shared" si="96"/>
        <v>0</v>
      </c>
      <c r="BM66" s="19">
        <f t="shared" si="76"/>
        <v>0</v>
      </c>
      <c r="BN66" s="19">
        <f t="shared" si="77"/>
        <v>0</v>
      </c>
      <c r="BO66" s="19">
        <f t="shared" si="78"/>
        <v>0</v>
      </c>
      <c r="BP66" s="24">
        <f t="shared" si="80"/>
        <v>7458.9828181639023</v>
      </c>
      <c r="BR66" s="6"/>
    </row>
    <row r="67" spans="1:70">
      <c r="B67" s="5">
        <v>2040</v>
      </c>
      <c r="C67" s="80">
        <f>'Project area'!E32</f>
        <v>0</v>
      </c>
      <c r="D67" s="19">
        <f t="shared" si="81"/>
        <v>0</v>
      </c>
      <c r="E67" s="19">
        <f t="shared" si="82"/>
        <v>0</v>
      </c>
      <c r="F67" s="19">
        <f t="shared" si="83"/>
        <v>0</v>
      </c>
      <c r="G67" s="19">
        <f t="shared" si="84"/>
        <v>0</v>
      </c>
      <c r="H67" s="19">
        <f t="shared" si="85"/>
        <v>0</v>
      </c>
      <c r="I67" s="19">
        <f t="shared" si="86"/>
        <v>0</v>
      </c>
      <c r="J67" s="19">
        <f t="shared" si="87"/>
        <v>0</v>
      </c>
      <c r="K67" s="19">
        <f t="shared" si="88"/>
        <v>0</v>
      </c>
      <c r="L67" s="19">
        <f t="shared" si="89"/>
        <v>0</v>
      </c>
      <c r="M67" s="19">
        <f t="shared" si="90"/>
        <v>0</v>
      </c>
      <c r="N67" s="18">
        <f t="shared" si="91"/>
        <v>0</v>
      </c>
      <c r="O67" s="18">
        <f t="shared" si="92"/>
        <v>0</v>
      </c>
      <c r="P67" s="85">
        <f t="shared" si="93"/>
        <v>0</v>
      </c>
      <c r="Q67" s="18">
        <f t="shared" si="94"/>
        <v>0</v>
      </c>
      <c r="R67" s="18">
        <f t="shared" si="95"/>
        <v>0</v>
      </c>
      <c r="S67" s="18">
        <f t="shared" si="97"/>
        <v>3.4399999999999995</v>
      </c>
      <c r="T67" s="18">
        <f t="shared" si="98"/>
        <v>8.77</v>
      </c>
      <c r="U67" s="18">
        <f t="shared" si="99"/>
        <v>1.69</v>
      </c>
      <c r="V67" s="18">
        <f t="shared" si="100"/>
        <v>1.29</v>
      </c>
      <c r="W67" s="18">
        <f t="shared" si="101"/>
        <v>41.86</v>
      </c>
      <c r="X67" s="18">
        <f t="shared" si="102"/>
        <v>1.18</v>
      </c>
      <c r="Y67" s="18">
        <f t="shared" ref="Y67:Y73" si="103">C45</f>
        <v>107.65</v>
      </c>
      <c r="Z67" s="18">
        <f>C44</f>
        <v>86.79</v>
      </c>
      <c r="AA67" s="18"/>
      <c r="AB67" s="18"/>
      <c r="AC67" s="18"/>
      <c r="AD67" s="18"/>
      <c r="AE67" s="18"/>
      <c r="AF67" s="18"/>
      <c r="AG67" s="18"/>
      <c r="AH67" s="24">
        <f t="shared" si="79"/>
        <v>252.67000000000002</v>
      </c>
      <c r="AJ67" s="5">
        <v>2040</v>
      </c>
      <c r="AK67" s="19">
        <f t="shared" si="59"/>
        <v>0</v>
      </c>
      <c r="AL67" s="19">
        <f t="shared" si="60"/>
        <v>0</v>
      </c>
      <c r="AM67" s="19">
        <f t="shared" si="61"/>
        <v>0</v>
      </c>
      <c r="AN67" s="19">
        <f t="shared" si="62"/>
        <v>0</v>
      </c>
      <c r="AO67" s="19">
        <f t="shared" si="63"/>
        <v>0</v>
      </c>
      <c r="AP67" s="19">
        <f t="shared" si="64"/>
        <v>0</v>
      </c>
      <c r="AQ67" s="19">
        <f t="shared" si="65"/>
        <v>0</v>
      </c>
      <c r="AR67" s="19">
        <f t="shared" si="66"/>
        <v>0</v>
      </c>
      <c r="AS67" s="19">
        <f t="shared" si="67"/>
        <v>0</v>
      </c>
      <c r="AT67" s="19">
        <f t="shared" si="68"/>
        <v>0</v>
      </c>
      <c r="AU67" s="19">
        <f t="shared" si="69"/>
        <v>0</v>
      </c>
      <c r="AV67" s="19">
        <f t="shared" si="70"/>
        <v>0</v>
      </c>
      <c r="AW67" s="19">
        <f t="shared" si="71"/>
        <v>0</v>
      </c>
      <c r="AX67" s="19">
        <f t="shared" si="72"/>
        <v>0</v>
      </c>
      <c r="AY67" s="19">
        <f t="shared" si="73"/>
        <v>0</v>
      </c>
      <c r="AZ67" s="19">
        <f t="shared" si="74"/>
        <v>0</v>
      </c>
      <c r="BA67" s="19">
        <f t="shared" si="96"/>
        <v>35.22061683609364</v>
      </c>
      <c r="BB67" s="19">
        <f t="shared" si="96"/>
        <v>112.06389560415833</v>
      </c>
      <c r="BC67" s="19">
        <f t="shared" si="96"/>
        <v>29.304162391802762</v>
      </c>
      <c r="BD67" s="19">
        <f t="shared" si="96"/>
        <v>31.074313173477446</v>
      </c>
      <c r="BE67" s="19">
        <f t="shared" si="96"/>
        <v>1376.3573193906238</v>
      </c>
      <c r="BF67" s="19">
        <f t="shared" si="96"/>
        <v>51.184382839678079</v>
      </c>
      <c r="BG67" s="19">
        <f t="shared" si="96"/>
        <v>1954.6217318073707</v>
      </c>
      <c r="BH67" s="19">
        <f t="shared" si="96"/>
        <v>3678.9756959373535</v>
      </c>
      <c r="BI67" s="19">
        <f t="shared" si="96"/>
        <v>0</v>
      </c>
      <c r="BJ67" s="19">
        <f t="shared" si="96"/>
        <v>0</v>
      </c>
      <c r="BK67" s="19">
        <f t="shared" si="96"/>
        <v>0</v>
      </c>
      <c r="BL67" s="19">
        <f t="shared" si="96"/>
        <v>0</v>
      </c>
      <c r="BM67" s="19">
        <f t="shared" si="76"/>
        <v>0</v>
      </c>
      <c r="BN67" s="19">
        <f t="shared" si="77"/>
        <v>0</v>
      </c>
      <c r="BO67" s="19">
        <f t="shared" si="78"/>
        <v>0</v>
      </c>
      <c r="BP67" s="24">
        <f t="shared" si="80"/>
        <v>7268.8021179805583</v>
      </c>
      <c r="BR67" s="6"/>
    </row>
    <row r="68" spans="1:70">
      <c r="B68" s="5">
        <v>2041</v>
      </c>
      <c r="C68" s="80">
        <f>'Project area'!E33</f>
        <v>0</v>
      </c>
      <c r="D68" s="19">
        <f t="shared" si="81"/>
        <v>0</v>
      </c>
      <c r="E68" s="19">
        <f t="shared" si="82"/>
        <v>0</v>
      </c>
      <c r="F68" s="19">
        <f t="shared" si="83"/>
        <v>0</v>
      </c>
      <c r="G68" s="19">
        <f t="shared" si="84"/>
        <v>0</v>
      </c>
      <c r="H68" s="19">
        <f t="shared" si="85"/>
        <v>0</v>
      </c>
      <c r="I68" s="19">
        <f t="shared" si="86"/>
        <v>0</v>
      </c>
      <c r="J68" s="19">
        <f t="shared" si="87"/>
        <v>0</v>
      </c>
      <c r="K68" s="19">
        <f t="shared" si="88"/>
        <v>0</v>
      </c>
      <c r="L68" s="19">
        <f t="shared" si="89"/>
        <v>0</v>
      </c>
      <c r="M68" s="19">
        <f t="shared" si="90"/>
        <v>0</v>
      </c>
      <c r="N68" s="18">
        <f t="shared" si="91"/>
        <v>0</v>
      </c>
      <c r="O68" s="18">
        <f t="shared" si="92"/>
        <v>0</v>
      </c>
      <c r="P68" s="85">
        <f t="shared" si="93"/>
        <v>0</v>
      </c>
      <c r="Q68" s="18">
        <f t="shared" si="94"/>
        <v>0</v>
      </c>
      <c r="R68" s="18">
        <f t="shared" si="95"/>
        <v>0</v>
      </c>
      <c r="S68" s="18">
        <f t="shared" si="97"/>
        <v>0</v>
      </c>
      <c r="T68" s="18">
        <f t="shared" si="98"/>
        <v>3.4399999999999995</v>
      </c>
      <c r="U68" s="18">
        <f t="shared" si="99"/>
        <v>8.77</v>
      </c>
      <c r="V68" s="18">
        <f t="shared" si="100"/>
        <v>1.69</v>
      </c>
      <c r="W68" s="18">
        <f t="shared" si="101"/>
        <v>1.29</v>
      </c>
      <c r="X68" s="18">
        <f t="shared" si="102"/>
        <v>41.86</v>
      </c>
      <c r="Y68" s="18">
        <f t="shared" si="103"/>
        <v>1.18</v>
      </c>
      <c r="Z68" s="18">
        <f t="shared" ref="Z68:Z73" si="104">C45</f>
        <v>107.65</v>
      </c>
      <c r="AA68" s="18">
        <f>C44</f>
        <v>86.79</v>
      </c>
      <c r="AB68" s="18"/>
      <c r="AC68" s="18"/>
      <c r="AD68" s="18"/>
      <c r="AE68" s="18"/>
      <c r="AF68" s="18"/>
      <c r="AG68" s="18"/>
      <c r="AH68" s="24">
        <f t="shared" si="79"/>
        <v>252.67000000000002</v>
      </c>
      <c r="AJ68" s="5">
        <v>2041</v>
      </c>
      <c r="AK68" s="19">
        <f t="shared" si="59"/>
        <v>0</v>
      </c>
      <c r="AL68" s="19">
        <f t="shared" si="60"/>
        <v>0</v>
      </c>
      <c r="AM68" s="19">
        <f t="shared" si="61"/>
        <v>0</v>
      </c>
      <c r="AN68" s="19">
        <f t="shared" si="62"/>
        <v>0</v>
      </c>
      <c r="AO68" s="19">
        <f t="shared" si="63"/>
        <v>0</v>
      </c>
      <c r="AP68" s="19">
        <f t="shared" si="64"/>
        <v>0</v>
      </c>
      <c r="AQ68" s="19">
        <f t="shared" si="65"/>
        <v>0</v>
      </c>
      <c r="AR68" s="19">
        <f t="shared" si="66"/>
        <v>0</v>
      </c>
      <c r="AS68" s="19">
        <f t="shared" si="67"/>
        <v>0</v>
      </c>
      <c r="AT68" s="19">
        <f t="shared" si="68"/>
        <v>0</v>
      </c>
      <c r="AU68" s="19">
        <f t="shared" si="69"/>
        <v>0</v>
      </c>
      <c r="AV68" s="19">
        <f t="shared" si="70"/>
        <v>0</v>
      </c>
      <c r="AW68" s="19">
        <f t="shared" si="71"/>
        <v>0</v>
      </c>
      <c r="AX68" s="19">
        <f t="shared" si="72"/>
        <v>0</v>
      </c>
      <c r="AY68" s="19">
        <f t="shared" si="73"/>
        <v>0</v>
      </c>
      <c r="AZ68" s="19">
        <f t="shared" si="74"/>
        <v>0</v>
      </c>
      <c r="BA68" s="19">
        <f t="shared" si="96"/>
        <v>0</v>
      </c>
      <c r="BB68" s="19">
        <f t="shared" si="96"/>
        <v>43.95664776263451</v>
      </c>
      <c r="BC68" s="19">
        <f t="shared" si="96"/>
        <v>152.06952909829008</v>
      </c>
      <c r="BD68" s="19">
        <f t="shared" si="96"/>
        <v>40.709759118741765</v>
      </c>
      <c r="BE68" s="19">
        <f t="shared" si="96"/>
        <v>42.41521600606557</v>
      </c>
      <c r="BF68" s="19">
        <f t="shared" si="96"/>
        <v>1815.7442929397666</v>
      </c>
      <c r="BG68" s="19">
        <f t="shared" si="96"/>
        <v>21.425486702579629</v>
      </c>
      <c r="BH68" s="19">
        <f t="shared" si="96"/>
        <v>4563.2185006067075</v>
      </c>
      <c r="BI68" s="19">
        <f t="shared" si="96"/>
        <v>4520.7365927595301</v>
      </c>
      <c r="BJ68" s="19">
        <f t="shared" si="96"/>
        <v>0</v>
      </c>
      <c r="BK68" s="19">
        <f t="shared" si="96"/>
        <v>0</v>
      </c>
      <c r="BL68" s="19">
        <f t="shared" si="96"/>
        <v>0</v>
      </c>
      <c r="BM68" s="19">
        <f t="shared" si="76"/>
        <v>0</v>
      </c>
      <c r="BN68" s="19">
        <f t="shared" si="77"/>
        <v>0</v>
      </c>
      <c r="BO68" s="19">
        <f t="shared" si="78"/>
        <v>0</v>
      </c>
      <c r="BP68" s="24">
        <f t="shared" si="80"/>
        <v>11200.276024994317</v>
      </c>
      <c r="BR68" s="6"/>
    </row>
    <row r="69" spans="1:70">
      <c r="B69" s="5">
        <v>2042</v>
      </c>
      <c r="C69" s="80">
        <f>'Project area'!E34</f>
        <v>0</v>
      </c>
      <c r="D69" s="19">
        <f t="shared" si="81"/>
        <v>0</v>
      </c>
      <c r="E69" s="19">
        <f t="shared" si="82"/>
        <v>0</v>
      </c>
      <c r="F69" s="19">
        <f t="shared" si="83"/>
        <v>0</v>
      </c>
      <c r="G69" s="19">
        <f t="shared" si="84"/>
        <v>0</v>
      </c>
      <c r="H69" s="19">
        <f t="shared" si="85"/>
        <v>0</v>
      </c>
      <c r="I69" s="19">
        <f t="shared" si="86"/>
        <v>0</v>
      </c>
      <c r="J69" s="19">
        <f t="shared" si="87"/>
        <v>0</v>
      </c>
      <c r="K69" s="19">
        <f t="shared" si="88"/>
        <v>0</v>
      </c>
      <c r="L69" s="19">
        <f t="shared" si="89"/>
        <v>0</v>
      </c>
      <c r="M69" s="19">
        <f t="shared" si="90"/>
        <v>0</v>
      </c>
      <c r="N69" s="18">
        <f t="shared" si="91"/>
        <v>0</v>
      </c>
      <c r="O69" s="18">
        <f t="shared" si="92"/>
        <v>0</v>
      </c>
      <c r="P69" s="85">
        <f t="shared" si="93"/>
        <v>0</v>
      </c>
      <c r="Q69" s="18">
        <f t="shared" si="94"/>
        <v>0</v>
      </c>
      <c r="R69" s="18">
        <f t="shared" si="95"/>
        <v>0</v>
      </c>
      <c r="S69" s="18">
        <f t="shared" si="97"/>
        <v>0</v>
      </c>
      <c r="T69" s="18">
        <f t="shared" si="98"/>
        <v>0</v>
      </c>
      <c r="U69" s="18">
        <f t="shared" si="99"/>
        <v>3.4399999999999995</v>
      </c>
      <c r="V69" s="18">
        <f t="shared" si="100"/>
        <v>8.77</v>
      </c>
      <c r="W69" s="18">
        <f t="shared" si="101"/>
        <v>1.69</v>
      </c>
      <c r="X69" s="18">
        <f t="shared" si="102"/>
        <v>1.29</v>
      </c>
      <c r="Y69" s="18">
        <f t="shared" si="103"/>
        <v>41.86</v>
      </c>
      <c r="Z69" s="18">
        <f t="shared" si="104"/>
        <v>1.18</v>
      </c>
      <c r="AA69" s="18">
        <f t="shared" ref="AA69:AA73" si="105">C45</f>
        <v>107.65</v>
      </c>
      <c r="AB69" s="18">
        <f>C44</f>
        <v>86.79</v>
      </c>
      <c r="AC69" s="18"/>
      <c r="AD69" s="18"/>
      <c r="AE69" s="18"/>
      <c r="AF69" s="18"/>
      <c r="AG69" s="18"/>
      <c r="AH69" s="24">
        <f t="shared" si="79"/>
        <v>252.67000000000002</v>
      </c>
      <c r="AJ69" s="5">
        <v>2042</v>
      </c>
      <c r="AK69" s="19">
        <f t="shared" si="59"/>
        <v>0</v>
      </c>
      <c r="AL69" s="19">
        <f t="shared" si="60"/>
        <v>0</v>
      </c>
      <c r="AM69" s="19">
        <f t="shared" si="61"/>
        <v>0</v>
      </c>
      <c r="AN69" s="19">
        <f t="shared" si="62"/>
        <v>0</v>
      </c>
      <c r="AO69" s="19">
        <f t="shared" si="63"/>
        <v>0</v>
      </c>
      <c r="AP69" s="19">
        <f t="shared" si="64"/>
        <v>0</v>
      </c>
      <c r="AQ69" s="19">
        <f t="shared" si="65"/>
        <v>0</v>
      </c>
      <c r="AR69" s="19">
        <f t="shared" si="66"/>
        <v>0</v>
      </c>
      <c r="AS69" s="19">
        <f t="shared" si="67"/>
        <v>0</v>
      </c>
      <c r="AT69" s="19">
        <f t="shared" si="68"/>
        <v>0</v>
      </c>
      <c r="AU69" s="19">
        <f t="shared" si="69"/>
        <v>0</v>
      </c>
      <c r="AV69" s="19">
        <f t="shared" si="70"/>
        <v>0</v>
      </c>
      <c r="AW69" s="19">
        <f t="shared" si="71"/>
        <v>0</v>
      </c>
      <c r="AX69" s="19">
        <f t="shared" si="72"/>
        <v>0</v>
      </c>
      <c r="AY69" s="19">
        <f t="shared" si="73"/>
        <v>0</v>
      </c>
      <c r="AZ69" s="19">
        <f t="shared" si="74"/>
        <v>0</v>
      </c>
      <c r="BA69" s="19">
        <f t="shared" si="96"/>
        <v>0</v>
      </c>
      <c r="BB69" s="19">
        <f t="shared" si="96"/>
        <v>0</v>
      </c>
      <c r="BC69" s="19">
        <f t="shared" si="96"/>
        <v>59.648709247219813</v>
      </c>
      <c r="BD69" s="19">
        <f t="shared" si="96"/>
        <v>211.25715234992029</v>
      </c>
      <c r="BE69" s="19">
        <f t="shared" si="96"/>
        <v>55.567220969186671</v>
      </c>
      <c r="BF69" s="19">
        <f t="shared" si="96"/>
        <v>55.955808358631124</v>
      </c>
      <c r="BG69" s="19">
        <f t="shared" si="96"/>
        <v>760.06006217795198</v>
      </c>
      <c r="BH69" s="19">
        <f t="shared" si="96"/>
        <v>50.019487512456237</v>
      </c>
      <c r="BI69" s="19">
        <f t="shared" si="96"/>
        <v>5607.296856902447</v>
      </c>
      <c r="BJ69" s="19">
        <f t="shared" si="96"/>
        <v>5426.3044260185707</v>
      </c>
      <c r="BK69" s="19">
        <f t="shared" si="96"/>
        <v>0</v>
      </c>
      <c r="BL69" s="19">
        <f t="shared" si="96"/>
        <v>0</v>
      </c>
      <c r="BM69" s="19">
        <f t="shared" si="76"/>
        <v>0</v>
      </c>
      <c r="BN69" s="19">
        <f t="shared" si="77"/>
        <v>0</v>
      </c>
      <c r="BO69" s="19">
        <f t="shared" si="78"/>
        <v>0</v>
      </c>
      <c r="BP69" s="24">
        <f t="shared" si="80"/>
        <v>12226.109723536383</v>
      </c>
      <c r="BR69" s="6"/>
    </row>
    <row r="70" spans="1:70">
      <c r="B70" s="5">
        <v>2043</v>
      </c>
      <c r="C70" s="80">
        <f>'Project area'!E35</f>
        <v>0</v>
      </c>
      <c r="D70" s="19">
        <f t="shared" si="81"/>
        <v>0</v>
      </c>
      <c r="E70" s="19">
        <f t="shared" si="82"/>
        <v>0</v>
      </c>
      <c r="F70" s="19">
        <f t="shared" si="83"/>
        <v>0</v>
      </c>
      <c r="G70" s="19">
        <f t="shared" si="84"/>
        <v>0</v>
      </c>
      <c r="H70" s="19">
        <f t="shared" si="85"/>
        <v>0</v>
      </c>
      <c r="I70" s="19">
        <f t="shared" si="86"/>
        <v>0</v>
      </c>
      <c r="J70" s="19">
        <f t="shared" si="87"/>
        <v>0</v>
      </c>
      <c r="K70" s="19">
        <f t="shared" si="88"/>
        <v>0</v>
      </c>
      <c r="L70" s="19">
        <f t="shared" si="89"/>
        <v>0</v>
      </c>
      <c r="M70" s="19">
        <f t="shared" si="90"/>
        <v>0</v>
      </c>
      <c r="N70" s="18">
        <f t="shared" si="91"/>
        <v>0</v>
      </c>
      <c r="O70" s="18">
        <f t="shared" si="92"/>
        <v>0</v>
      </c>
      <c r="P70" s="85">
        <f t="shared" si="93"/>
        <v>0</v>
      </c>
      <c r="Q70" s="18">
        <f t="shared" si="94"/>
        <v>0</v>
      </c>
      <c r="R70" s="18">
        <f t="shared" si="95"/>
        <v>0</v>
      </c>
      <c r="S70" s="18">
        <f t="shared" si="97"/>
        <v>0</v>
      </c>
      <c r="T70" s="18">
        <f t="shared" si="98"/>
        <v>0</v>
      </c>
      <c r="U70" s="18">
        <f t="shared" si="99"/>
        <v>0</v>
      </c>
      <c r="V70" s="18">
        <f t="shared" si="100"/>
        <v>3.4399999999999995</v>
      </c>
      <c r="W70" s="18">
        <f t="shared" si="101"/>
        <v>8.77</v>
      </c>
      <c r="X70" s="18">
        <f t="shared" si="102"/>
        <v>1.69</v>
      </c>
      <c r="Y70" s="18">
        <f t="shared" si="103"/>
        <v>1.29</v>
      </c>
      <c r="Z70" s="18">
        <f t="shared" si="104"/>
        <v>41.86</v>
      </c>
      <c r="AA70" s="18">
        <f t="shared" si="105"/>
        <v>1.18</v>
      </c>
      <c r="AB70" s="18">
        <f t="shared" ref="AB70:AB73" si="106">C45</f>
        <v>107.65</v>
      </c>
      <c r="AC70" s="18">
        <f>C44</f>
        <v>86.79</v>
      </c>
      <c r="AD70" s="18"/>
      <c r="AE70" s="18"/>
      <c r="AF70" s="18"/>
      <c r="AG70" s="18"/>
      <c r="AH70" s="24">
        <f t="shared" si="79"/>
        <v>252.67000000000002</v>
      </c>
      <c r="AJ70" s="5">
        <v>2043</v>
      </c>
      <c r="AK70" s="19">
        <f t="shared" si="59"/>
        <v>0</v>
      </c>
      <c r="AL70" s="19">
        <f t="shared" si="60"/>
        <v>0</v>
      </c>
      <c r="AM70" s="19">
        <f t="shared" si="61"/>
        <v>0</v>
      </c>
      <c r="AN70" s="19">
        <f t="shared" si="62"/>
        <v>0</v>
      </c>
      <c r="AO70" s="19">
        <f t="shared" si="63"/>
        <v>0</v>
      </c>
      <c r="AP70" s="19">
        <f t="shared" si="64"/>
        <v>0</v>
      </c>
      <c r="AQ70" s="19">
        <f t="shared" si="65"/>
        <v>0</v>
      </c>
      <c r="AR70" s="19">
        <f t="shared" si="66"/>
        <v>0</v>
      </c>
      <c r="AS70" s="19">
        <f t="shared" si="67"/>
        <v>0</v>
      </c>
      <c r="AT70" s="19">
        <f t="shared" si="68"/>
        <v>0</v>
      </c>
      <c r="AU70" s="19">
        <f t="shared" si="69"/>
        <v>0</v>
      </c>
      <c r="AV70" s="19">
        <f t="shared" si="70"/>
        <v>0</v>
      </c>
      <c r="AW70" s="19">
        <f t="shared" si="71"/>
        <v>0</v>
      </c>
      <c r="AX70" s="19">
        <f t="shared" si="72"/>
        <v>0</v>
      </c>
      <c r="AY70" s="19">
        <f t="shared" si="73"/>
        <v>0</v>
      </c>
      <c r="AZ70" s="19">
        <f t="shared" si="74"/>
        <v>0</v>
      </c>
      <c r="BA70" s="19">
        <f t="shared" si="96"/>
        <v>0</v>
      </c>
      <c r="BB70" s="19">
        <f t="shared" si="96"/>
        <v>0</v>
      </c>
      <c r="BC70" s="19">
        <f t="shared" si="96"/>
        <v>0</v>
      </c>
      <c r="BD70" s="19">
        <f t="shared" si="96"/>
        <v>82.864835129273175</v>
      </c>
      <c r="BE70" s="19">
        <f t="shared" si="96"/>
        <v>288.35770881643026</v>
      </c>
      <c r="BF70" s="19">
        <f t="shared" si="96"/>
        <v>73.306446609369459</v>
      </c>
      <c r="BG70" s="19">
        <f t="shared" si="96"/>
        <v>23.422777835870953</v>
      </c>
      <c r="BH70" s="19">
        <f t="shared" si="96"/>
        <v>1774.4201248062866</v>
      </c>
      <c r="BI70" s="19">
        <f t="shared" si="96"/>
        <v>61.464099313932991</v>
      </c>
      <c r="BJ70" s="19">
        <f t="shared" si="96"/>
        <v>6730.5181640845622</v>
      </c>
      <c r="BK70" s="19">
        <f t="shared" si="96"/>
        <v>6372.1045210595767</v>
      </c>
      <c r="BL70" s="19">
        <f t="shared" si="96"/>
        <v>0</v>
      </c>
      <c r="BM70" s="19">
        <f t="shared" si="76"/>
        <v>0</v>
      </c>
      <c r="BN70" s="19">
        <f t="shared" si="77"/>
        <v>0</v>
      </c>
      <c r="BO70" s="19">
        <f t="shared" si="78"/>
        <v>0</v>
      </c>
      <c r="BP70" s="24">
        <f t="shared" si="80"/>
        <v>15406.458677655302</v>
      </c>
      <c r="BR70" s="6"/>
    </row>
    <row r="71" spans="1:70">
      <c r="B71" s="5">
        <v>2044</v>
      </c>
      <c r="C71" s="80">
        <f>'Project area'!E36</f>
        <v>0</v>
      </c>
      <c r="D71" s="19">
        <f t="shared" si="81"/>
        <v>0</v>
      </c>
      <c r="E71" s="19">
        <f t="shared" si="82"/>
        <v>0</v>
      </c>
      <c r="F71" s="19">
        <f t="shared" si="83"/>
        <v>0</v>
      </c>
      <c r="G71" s="19">
        <f t="shared" si="84"/>
        <v>0</v>
      </c>
      <c r="H71" s="19">
        <f t="shared" si="85"/>
        <v>0</v>
      </c>
      <c r="I71" s="19">
        <f t="shared" si="86"/>
        <v>0</v>
      </c>
      <c r="J71" s="19">
        <f t="shared" si="87"/>
        <v>0</v>
      </c>
      <c r="K71" s="19">
        <f t="shared" si="88"/>
        <v>0</v>
      </c>
      <c r="L71" s="19">
        <f t="shared" si="89"/>
        <v>0</v>
      </c>
      <c r="M71" s="19">
        <f t="shared" si="90"/>
        <v>0</v>
      </c>
      <c r="N71" s="18">
        <f t="shared" si="91"/>
        <v>0</v>
      </c>
      <c r="O71" s="18">
        <f t="shared" si="92"/>
        <v>0</v>
      </c>
      <c r="P71" s="85">
        <f t="shared" si="93"/>
        <v>0</v>
      </c>
      <c r="Q71" s="18">
        <f t="shared" si="94"/>
        <v>0</v>
      </c>
      <c r="R71" s="18">
        <f t="shared" si="95"/>
        <v>0</v>
      </c>
      <c r="S71" s="18">
        <f t="shared" si="97"/>
        <v>0</v>
      </c>
      <c r="T71" s="18">
        <f t="shared" si="98"/>
        <v>0</v>
      </c>
      <c r="U71" s="18">
        <f t="shared" si="99"/>
        <v>0</v>
      </c>
      <c r="V71" s="18">
        <f t="shared" si="100"/>
        <v>0</v>
      </c>
      <c r="W71" s="18">
        <f t="shared" si="101"/>
        <v>3.4399999999999995</v>
      </c>
      <c r="X71" s="18">
        <f t="shared" si="102"/>
        <v>8.77</v>
      </c>
      <c r="Y71" s="18">
        <f t="shared" si="103"/>
        <v>1.69</v>
      </c>
      <c r="Z71" s="18">
        <f t="shared" si="104"/>
        <v>1.29</v>
      </c>
      <c r="AA71" s="18">
        <f t="shared" si="105"/>
        <v>41.86</v>
      </c>
      <c r="AB71" s="18">
        <f t="shared" si="106"/>
        <v>1.18</v>
      </c>
      <c r="AC71" s="18">
        <f t="shared" ref="AC71:AC73" si="107">C45</f>
        <v>107.65</v>
      </c>
      <c r="AD71" s="18">
        <f>C44</f>
        <v>86.79</v>
      </c>
      <c r="AE71" s="18"/>
      <c r="AF71" s="18"/>
      <c r="AG71" s="18"/>
      <c r="AH71" s="24">
        <f t="shared" si="79"/>
        <v>252.67000000000002</v>
      </c>
      <c r="AJ71" s="5">
        <v>2044</v>
      </c>
      <c r="AK71" s="19">
        <f t="shared" si="59"/>
        <v>0</v>
      </c>
      <c r="AL71" s="19">
        <f t="shared" si="60"/>
        <v>0</v>
      </c>
      <c r="AM71" s="19">
        <f t="shared" si="61"/>
        <v>0</v>
      </c>
      <c r="AN71" s="19">
        <f t="shared" si="62"/>
        <v>0</v>
      </c>
      <c r="AO71" s="19">
        <f t="shared" si="63"/>
        <v>0</v>
      </c>
      <c r="AP71" s="19">
        <f t="shared" si="64"/>
        <v>0</v>
      </c>
      <c r="AQ71" s="19">
        <f t="shared" si="65"/>
        <v>0</v>
      </c>
      <c r="AR71" s="19">
        <f t="shared" si="66"/>
        <v>0</v>
      </c>
      <c r="AS71" s="19">
        <f t="shared" si="67"/>
        <v>0</v>
      </c>
      <c r="AT71" s="19">
        <f t="shared" si="68"/>
        <v>0</v>
      </c>
      <c r="AU71" s="19">
        <f t="shared" si="69"/>
        <v>0</v>
      </c>
      <c r="AV71" s="19">
        <f t="shared" si="70"/>
        <v>0</v>
      </c>
      <c r="AW71" s="19">
        <f t="shared" si="71"/>
        <v>0</v>
      </c>
      <c r="AX71" s="19">
        <f t="shared" si="72"/>
        <v>0</v>
      </c>
      <c r="AY71" s="19">
        <f t="shared" si="73"/>
        <v>0</v>
      </c>
      <c r="AZ71" s="19">
        <f t="shared" si="74"/>
        <v>0</v>
      </c>
      <c r="BA71" s="19">
        <f t="shared" si="96"/>
        <v>0</v>
      </c>
      <c r="BB71" s="19">
        <f t="shared" si="96"/>
        <v>0</v>
      </c>
      <c r="BC71" s="19">
        <f t="shared" si="96"/>
        <v>0</v>
      </c>
      <c r="BD71" s="19">
        <f t="shared" si="96"/>
        <v>0</v>
      </c>
      <c r="BE71" s="19">
        <f t="shared" si="96"/>
        <v>113.1072426828415</v>
      </c>
      <c r="BF71" s="19">
        <f t="shared" si="96"/>
        <v>380.41274364743794</v>
      </c>
      <c r="BG71" s="19">
        <f t="shared" si="96"/>
        <v>30.68565468420303</v>
      </c>
      <c r="BH71" s="19">
        <f t="shared" si="96"/>
        <v>54.682321094125889</v>
      </c>
      <c r="BI71" s="19">
        <f t="shared" si="96"/>
        <v>2180.4128790518944</v>
      </c>
      <c r="BJ71" s="19">
        <f t="shared" si="96"/>
        <v>73.776232546398347</v>
      </c>
      <c r="BK71" s="19">
        <f t="shared" si="96"/>
        <v>7903.6415680615664</v>
      </c>
      <c r="BL71" s="19">
        <f t="shared" si="96"/>
        <v>7342.9296226431561</v>
      </c>
      <c r="BM71" s="19">
        <f t="shared" si="76"/>
        <v>0</v>
      </c>
      <c r="BN71" s="19">
        <f t="shared" si="77"/>
        <v>0</v>
      </c>
      <c r="BO71" s="19">
        <f t="shared" si="78"/>
        <v>0</v>
      </c>
      <c r="BP71" s="24">
        <f t="shared" si="80"/>
        <v>18079.648264411626</v>
      </c>
      <c r="BR71" s="6"/>
    </row>
    <row r="72" spans="1:70">
      <c r="B72" s="5">
        <v>2045</v>
      </c>
      <c r="C72" s="80">
        <f>'Project area'!E37</f>
        <v>0</v>
      </c>
      <c r="D72" s="19">
        <f t="shared" si="81"/>
        <v>0</v>
      </c>
      <c r="E72" s="19">
        <f t="shared" si="82"/>
        <v>0</v>
      </c>
      <c r="F72" s="19">
        <f t="shared" si="83"/>
        <v>0</v>
      </c>
      <c r="G72" s="19">
        <f t="shared" si="84"/>
        <v>0</v>
      </c>
      <c r="H72" s="19">
        <f t="shared" si="85"/>
        <v>0</v>
      </c>
      <c r="I72" s="19">
        <f t="shared" si="86"/>
        <v>0</v>
      </c>
      <c r="J72" s="19">
        <f t="shared" si="87"/>
        <v>0</v>
      </c>
      <c r="K72" s="19">
        <f t="shared" si="88"/>
        <v>0</v>
      </c>
      <c r="L72" s="19">
        <f t="shared" si="89"/>
        <v>0</v>
      </c>
      <c r="M72" s="19">
        <f t="shared" si="90"/>
        <v>0</v>
      </c>
      <c r="N72" s="18">
        <f t="shared" si="91"/>
        <v>0</v>
      </c>
      <c r="O72" s="18">
        <f t="shared" si="92"/>
        <v>0</v>
      </c>
      <c r="P72" s="85">
        <f t="shared" si="93"/>
        <v>0</v>
      </c>
      <c r="Q72" s="18">
        <f t="shared" si="94"/>
        <v>0</v>
      </c>
      <c r="R72" s="18">
        <f t="shared" si="95"/>
        <v>0</v>
      </c>
      <c r="S72" s="18">
        <f t="shared" si="97"/>
        <v>0</v>
      </c>
      <c r="T72" s="18">
        <f t="shared" si="98"/>
        <v>0</v>
      </c>
      <c r="U72" s="18">
        <f t="shared" si="99"/>
        <v>0</v>
      </c>
      <c r="V72" s="18">
        <f t="shared" si="100"/>
        <v>0</v>
      </c>
      <c r="W72" s="18">
        <f t="shared" si="101"/>
        <v>0</v>
      </c>
      <c r="X72" s="18">
        <f t="shared" si="102"/>
        <v>3.4399999999999995</v>
      </c>
      <c r="Y72" s="18">
        <f t="shared" si="103"/>
        <v>8.77</v>
      </c>
      <c r="Z72" s="18">
        <f t="shared" si="104"/>
        <v>1.69</v>
      </c>
      <c r="AA72" s="18">
        <f t="shared" si="105"/>
        <v>1.29</v>
      </c>
      <c r="AB72" s="18">
        <f t="shared" si="106"/>
        <v>41.86</v>
      </c>
      <c r="AC72" s="18">
        <f t="shared" si="107"/>
        <v>1.18</v>
      </c>
      <c r="AD72" s="18">
        <f t="shared" ref="AD72:AD73" si="108">C45</f>
        <v>107.65</v>
      </c>
      <c r="AE72" s="18">
        <f>C44</f>
        <v>86.79</v>
      </c>
      <c r="AF72" s="18"/>
      <c r="AG72" s="18"/>
      <c r="AH72" s="24">
        <f t="shared" si="79"/>
        <v>252.67000000000002</v>
      </c>
      <c r="AJ72" s="5">
        <v>2045</v>
      </c>
      <c r="AK72" s="19">
        <f t="shared" si="59"/>
        <v>0</v>
      </c>
      <c r="AL72" s="19">
        <f t="shared" si="60"/>
        <v>0</v>
      </c>
      <c r="AM72" s="19">
        <f t="shared" si="61"/>
        <v>0</v>
      </c>
      <c r="AN72" s="19">
        <f t="shared" si="62"/>
        <v>0</v>
      </c>
      <c r="AO72" s="19">
        <f t="shared" si="63"/>
        <v>0</v>
      </c>
      <c r="AP72" s="19">
        <f t="shared" si="64"/>
        <v>0</v>
      </c>
      <c r="AQ72" s="19">
        <f t="shared" si="65"/>
        <v>0</v>
      </c>
      <c r="AR72" s="19">
        <f t="shared" si="66"/>
        <v>0</v>
      </c>
      <c r="AS72" s="19">
        <f t="shared" si="67"/>
        <v>0</v>
      </c>
      <c r="AT72" s="19">
        <f t="shared" si="68"/>
        <v>0</v>
      </c>
      <c r="AU72" s="19">
        <f t="shared" si="69"/>
        <v>0</v>
      </c>
      <c r="AV72" s="19">
        <f t="shared" si="70"/>
        <v>0</v>
      </c>
      <c r="AW72" s="19">
        <f t="shared" si="71"/>
        <v>0</v>
      </c>
      <c r="AX72" s="19">
        <f t="shared" si="72"/>
        <v>0</v>
      </c>
      <c r="AY72" s="19">
        <f t="shared" si="73"/>
        <v>0</v>
      </c>
      <c r="AZ72" s="19">
        <f t="shared" si="74"/>
        <v>0</v>
      </c>
      <c r="BA72" s="19">
        <f t="shared" si="96"/>
        <v>0</v>
      </c>
      <c r="BB72" s="19">
        <f t="shared" si="96"/>
        <v>0</v>
      </c>
      <c r="BC72" s="19">
        <f t="shared" si="96"/>
        <v>0</v>
      </c>
      <c r="BD72" s="19">
        <f t="shared" si="96"/>
        <v>0</v>
      </c>
      <c r="BE72" s="19">
        <f t="shared" si="96"/>
        <v>0</v>
      </c>
      <c r="BF72" s="19">
        <f t="shared" si="96"/>
        <v>149.21548895634965</v>
      </c>
      <c r="BG72" s="19">
        <f t="shared" si="96"/>
        <v>159.2385748996808</v>
      </c>
      <c r="BH72" s="19">
        <f t="shared" si="96"/>
        <v>71.63807957292461</v>
      </c>
      <c r="BI72" s="19">
        <f t="shared" si="96"/>
        <v>67.19380348726574</v>
      </c>
      <c r="BJ72" s="19">
        <f t="shared" si="96"/>
        <v>2617.1805884679961</v>
      </c>
      <c r="BK72" s="19">
        <f t="shared" si="96"/>
        <v>86.635365074896868</v>
      </c>
      <c r="BL72" s="19">
        <f t="shared" si="96"/>
        <v>9107.8047456796376</v>
      </c>
      <c r="BM72" s="19">
        <f t="shared" si="76"/>
        <v>8331.3195664208615</v>
      </c>
      <c r="BN72" s="19">
        <f t="shared" si="77"/>
        <v>0</v>
      </c>
      <c r="BO72" s="19">
        <f t="shared" si="78"/>
        <v>0</v>
      </c>
      <c r="BP72" s="24">
        <f t="shared" si="80"/>
        <v>20590.226212559613</v>
      </c>
      <c r="BR72" s="6"/>
    </row>
    <row r="73" spans="1:70">
      <c r="B73" s="73">
        <v>2046</v>
      </c>
      <c r="C73" s="81">
        <f>'Project area'!E38</f>
        <v>0</v>
      </c>
      <c r="D73" s="23">
        <f t="shared" si="81"/>
        <v>0</v>
      </c>
      <c r="E73" s="23">
        <f t="shared" si="82"/>
        <v>0</v>
      </c>
      <c r="F73" s="23">
        <f t="shared" si="83"/>
        <v>0</v>
      </c>
      <c r="G73" s="23">
        <f t="shared" si="84"/>
        <v>0</v>
      </c>
      <c r="H73" s="23">
        <f t="shared" si="85"/>
        <v>0</v>
      </c>
      <c r="I73" s="23">
        <f t="shared" si="86"/>
        <v>0</v>
      </c>
      <c r="J73" s="23">
        <f t="shared" si="87"/>
        <v>0</v>
      </c>
      <c r="K73" s="23">
        <f t="shared" si="88"/>
        <v>0</v>
      </c>
      <c r="L73" s="23">
        <f t="shared" si="89"/>
        <v>0</v>
      </c>
      <c r="M73" s="23">
        <f t="shared" si="90"/>
        <v>0</v>
      </c>
      <c r="N73" s="88">
        <f t="shared" si="91"/>
        <v>0</v>
      </c>
      <c r="O73" s="88">
        <f t="shared" si="92"/>
        <v>0</v>
      </c>
      <c r="P73" s="89">
        <f t="shared" si="93"/>
        <v>0</v>
      </c>
      <c r="Q73" s="88">
        <f t="shared" si="94"/>
        <v>0</v>
      </c>
      <c r="R73" s="88">
        <f t="shared" si="95"/>
        <v>0</v>
      </c>
      <c r="S73" s="88">
        <f t="shared" si="97"/>
        <v>0</v>
      </c>
      <c r="T73" s="88">
        <f t="shared" si="98"/>
        <v>0</v>
      </c>
      <c r="U73" s="88">
        <f t="shared" si="99"/>
        <v>0</v>
      </c>
      <c r="V73" s="88">
        <f t="shared" si="100"/>
        <v>0</v>
      </c>
      <c r="W73" s="88">
        <f t="shared" si="101"/>
        <v>0</v>
      </c>
      <c r="X73" s="88">
        <f t="shared" si="102"/>
        <v>0</v>
      </c>
      <c r="Y73" s="88">
        <f t="shared" si="103"/>
        <v>3.4399999999999995</v>
      </c>
      <c r="Z73" s="88">
        <f t="shared" si="104"/>
        <v>8.77</v>
      </c>
      <c r="AA73" s="88">
        <f t="shared" si="105"/>
        <v>1.69</v>
      </c>
      <c r="AB73" s="88">
        <f t="shared" si="106"/>
        <v>1.29</v>
      </c>
      <c r="AC73" s="88">
        <f t="shared" si="107"/>
        <v>41.86</v>
      </c>
      <c r="AD73" s="88">
        <f t="shared" si="108"/>
        <v>1.18</v>
      </c>
      <c r="AE73" s="88">
        <f>C45</f>
        <v>107.65</v>
      </c>
      <c r="AF73" s="88">
        <f>C44</f>
        <v>86.79</v>
      </c>
      <c r="AG73" s="88"/>
      <c r="AH73" s="63">
        <f t="shared" si="79"/>
        <v>252.67000000000002</v>
      </c>
      <c r="AJ73" s="5">
        <v>2046</v>
      </c>
      <c r="AK73" s="19">
        <f t="shared" si="59"/>
        <v>0</v>
      </c>
      <c r="AL73" s="19">
        <f t="shared" si="60"/>
        <v>0</v>
      </c>
      <c r="AM73" s="19">
        <f t="shared" si="61"/>
        <v>0</v>
      </c>
      <c r="AN73" s="19">
        <f t="shared" si="62"/>
        <v>0</v>
      </c>
      <c r="AO73" s="19">
        <f t="shared" si="63"/>
        <v>0</v>
      </c>
      <c r="AP73" s="19">
        <f t="shared" si="64"/>
        <v>0</v>
      </c>
      <c r="AQ73" s="19">
        <f t="shared" si="65"/>
        <v>0</v>
      </c>
      <c r="AR73" s="19">
        <f t="shared" si="66"/>
        <v>0</v>
      </c>
      <c r="AS73" s="19">
        <f t="shared" si="67"/>
        <v>0</v>
      </c>
      <c r="AT73" s="19">
        <f t="shared" si="68"/>
        <v>0</v>
      </c>
      <c r="AU73" s="19">
        <f t="shared" si="69"/>
        <v>0</v>
      </c>
      <c r="AV73" s="19">
        <f t="shared" si="70"/>
        <v>0</v>
      </c>
      <c r="AW73" s="19">
        <f t="shared" si="71"/>
        <v>0</v>
      </c>
      <c r="AX73" s="19">
        <f t="shared" si="72"/>
        <v>0</v>
      </c>
      <c r="AY73" s="19">
        <f t="shared" si="73"/>
        <v>0</v>
      </c>
      <c r="AZ73" s="19">
        <f t="shared" si="74"/>
        <v>0</v>
      </c>
      <c r="BA73" s="19">
        <f t="shared" si="96"/>
        <v>0</v>
      </c>
      <c r="BB73" s="19">
        <f t="shared" si="96"/>
        <v>0</v>
      </c>
      <c r="BC73" s="19">
        <f t="shared" si="96"/>
        <v>0</v>
      </c>
      <c r="BD73" s="19">
        <f t="shared" si="96"/>
        <v>0</v>
      </c>
      <c r="BE73" s="19">
        <f t="shared" si="96"/>
        <v>0</v>
      </c>
      <c r="BF73" s="19">
        <f t="shared" si="96"/>
        <v>0</v>
      </c>
      <c r="BG73" s="19">
        <f t="shared" si="96"/>
        <v>62.460740895655867</v>
      </c>
      <c r="BH73" s="19">
        <f t="shared" si="96"/>
        <v>371.75500464766202</v>
      </c>
      <c r="BI73" s="19">
        <f t="shared" si="96"/>
        <v>88.029091390293871</v>
      </c>
      <c r="BJ73" s="19">
        <f t="shared" si="96"/>
        <v>80.653677953265998</v>
      </c>
      <c r="BK73" s="19">
        <f t="shared" si="96"/>
        <v>3073.3528661315108</v>
      </c>
      <c r="BL73" s="19">
        <f t="shared" si="96"/>
        <v>99.834738503501825</v>
      </c>
      <c r="BM73" s="19">
        <f t="shared" si="76"/>
        <v>10333.754480069199</v>
      </c>
      <c r="BN73" s="19">
        <f t="shared" si="77"/>
        <v>9303.3256492956807</v>
      </c>
      <c r="BO73" s="19">
        <f t="shared" si="78"/>
        <v>0</v>
      </c>
      <c r="BP73" s="63">
        <f t="shared" si="80"/>
        <v>23413.166248886773</v>
      </c>
      <c r="BR73" s="6"/>
    </row>
    <row r="74" spans="1:70">
      <c r="AH74" s="19"/>
      <c r="AJ74" s="61" t="s">
        <v>185</v>
      </c>
      <c r="AK74" s="62">
        <v>9.5134939343373546</v>
      </c>
      <c r="AL74" s="62">
        <v>10.238551405841175</v>
      </c>
      <c r="AM74" s="62">
        <v>12.778095279835615</v>
      </c>
      <c r="AN74" s="62">
        <v>17.339741060238321</v>
      </c>
      <c r="AO74" s="62">
        <v>24.08861486316081</v>
      </c>
      <c r="AP74" s="62">
        <v>32.880012407802766</v>
      </c>
      <c r="AQ74" s="62">
        <v>43.376595626845834</v>
      </c>
      <c r="AR74" s="62">
        <v>18.157192120830196</v>
      </c>
      <c r="AS74" s="62">
        <v>42.389396196996813</v>
      </c>
      <c r="AT74" s="62">
        <v>52.088219757570336</v>
      </c>
      <c r="AU74" s="62">
        <v>62.522230971524031</v>
      </c>
      <c r="AV74" s="62">
        <v>73.419800910929553</v>
      </c>
      <c r="AW74" s="62">
        <v>84.60571059618799</v>
      </c>
      <c r="AX74" s="62">
        <v>95.994003530601006</v>
      </c>
      <c r="AY74" s="62">
        <v>107.19352055877036</v>
      </c>
      <c r="AZ74" s="62">
        <f>AK74</f>
        <v>9.5134939343373546</v>
      </c>
      <c r="BA74" s="62">
        <f t="shared" ref="BA74:BN74" si="109">AL74</f>
        <v>10.238551405841175</v>
      </c>
      <c r="BB74" s="62">
        <f t="shared" si="109"/>
        <v>12.778095279835615</v>
      </c>
      <c r="BC74" s="62">
        <f t="shared" si="109"/>
        <v>17.339741060238321</v>
      </c>
      <c r="BD74" s="62">
        <f t="shared" si="109"/>
        <v>24.08861486316081</v>
      </c>
      <c r="BE74" s="62">
        <f t="shared" si="109"/>
        <v>32.880012407802766</v>
      </c>
      <c r="BF74" s="62">
        <f t="shared" si="109"/>
        <v>43.376595626845834</v>
      </c>
      <c r="BG74" s="62">
        <f t="shared" si="109"/>
        <v>18.157192120830196</v>
      </c>
      <c r="BH74" s="62">
        <f t="shared" si="109"/>
        <v>42.389396196996813</v>
      </c>
      <c r="BI74" s="62">
        <f t="shared" si="109"/>
        <v>52.088219757570336</v>
      </c>
      <c r="BJ74" s="62">
        <f t="shared" si="109"/>
        <v>62.522230971524031</v>
      </c>
      <c r="BK74" s="62">
        <f t="shared" si="109"/>
        <v>73.419800910929553</v>
      </c>
      <c r="BL74" s="62">
        <f t="shared" si="109"/>
        <v>84.60571059618799</v>
      </c>
      <c r="BM74" s="62">
        <f t="shared" si="109"/>
        <v>95.994003530601006</v>
      </c>
      <c r="BN74" s="62">
        <f t="shared" si="109"/>
        <v>107.19352055877036</v>
      </c>
      <c r="BO74" s="62"/>
    </row>
    <row r="75" spans="1:70">
      <c r="Y75" s="19"/>
      <c r="AA75" s="59"/>
      <c r="AB75" s="60"/>
      <c r="AC75" s="60"/>
      <c r="AD75" s="60"/>
      <c r="AE75" s="60"/>
      <c r="AF75" s="60"/>
      <c r="AG75" s="60"/>
      <c r="AH75" s="60"/>
      <c r="AI75" s="60"/>
      <c r="AJ75" s="60"/>
      <c r="AK75" s="59"/>
      <c r="AL75" s="60"/>
    </row>
    <row r="77" spans="1:70" ht="18.45">
      <c r="A77" s="14" t="s">
        <v>182</v>
      </c>
      <c r="B77" s="67"/>
    </row>
    <row r="79" spans="1:70">
      <c r="B79" s="55" t="s">
        <v>5</v>
      </c>
      <c r="C79" s="64" t="s">
        <v>183</v>
      </c>
      <c r="D79" s="64" t="s">
        <v>204</v>
      </c>
      <c r="E79" s="64" t="s">
        <v>203</v>
      </c>
      <c r="F79" s="64" t="s">
        <v>205</v>
      </c>
      <c r="G79" s="98" t="s">
        <v>202</v>
      </c>
      <c r="H79" s="3"/>
      <c r="I79" s="3"/>
      <c r="J79" s="3"/>
      <c r="K79" s="3"/>
    </row>
    <row r="80" spans="1:70">
      <c r="B80" s="5">
        <v>2017</v>
      </c>
      <c r="C80" s="99">
        <f>C7+C44</f>
        <v>353.9500000000001</v>
      </c>
      <c r="D80" s="20">
        <f>C80</f>
        <v>353.9500000000001</v>
      </c>
      <c r="E80" s="19">
        <f t="shared" ref="E80:E109" si="110">BD7+BP44</f>
        <v>905.82413856113908</v>
      </c>
      <c r="F80" s="19">
        <f>E80</f>
        <v>905.82413856113908</v>
      </c>
      <c r="G80" s="24">
        <f>MAX(F80,0)</f>
        <v>905.82413856113908</v>
      </c>
      <c r="H80" s="19"/>
      <c r="I80" s="19"/>
      <c r="J80" s="19"/>
      <c r="K80" s="19"/>
    </row>
    <row r="81" spans="2:11">
      <c r="B81" s="5">
        <v>2018</v>
      </c>
      <c r="C81" s="99">
        <f t="shared" ref="C81:C109" si="111">C8+C45</f>
        <v>208.55</v>
      </c>
      <c r="D81" s="20">
        <f>D80+C81</f>
        <v>562.50000000000011</v>
      </c>
      <c r="E81" s="19">
        <f t="shared" si="110"/>
        <v>5575.2355046754601</v>
      </c>
      <c r="F81" s="19">
        <f t="shared" ref="F81:F109" si="112">E81-E80</f>
        <v>4669.411366114321</v>
      </c>
      <c r="G81" s="24">
        <f t="shared" ref="G81:G93" si="113">MAX(F81,0)</f>
        <v>4669.411366114321</v>
      </c>
      <c r="H81" s="19"/>
      <c r="I81" s="19"/>
      <c r="J81" s="19"/>
      <c r="K81" s="19"/>
    </row>
    <row r="82" spans="2:11">
      <c r="B82" s="5">
        <v>2019</v>
      </c>
      <c r="C82" s="99">
        <f t="shared" si="111"/>
        <v>244.22000000000008</v>
      </c>
      <c r="D82" s="20">
        <f t="shared" ref="D82:D109" si="114">D81+C82</f>
        <v>806.72000000000025</v>
      </c>
      <c r="E82" s="19">
        <f t="shared" si="110"/>
        <v>12984.05306739056</v>
      </c>
      <c r="F82" s="19">
        <f t="shared" si="112"/>
        <v>7408.8175627150995</v>
      </c>
      <c r="G82" s="24">
        <f t="shared" si="113"/>
        <v>7408.8175627150995</v>
      </c>
      <c r="H82" s="19"/>
      <c r="I82" s="19"/>
      <c r="J82" s="19"/>
      <c r="K82" s="19"/>
    </row>
    <row r="83" spans="2:11">
      <c r="B83" s="5">
        <v>2020</v>
      </c>
      <c r="C83" s="99">
        <f t="shared" si="111"/>
        <v>111.17999999999998</v>
      </c>
      <c r="D83" s="20">
        <f t="shared" si="114"/>
        <v>917.9000000000002</v>
      </c>
      <c r="E83" s="19">
        <f t="shared" si="110"/>
        <v>24636.514960274289</v>
      </c>
      <c r="F83" s="19">
        <f t="shared" si="112"/>
        <v>11652.46189288373</v>
      </c>
      <c r="G83" s="24">
        <f t="shared" si="113"/>
        <v>11652.46189288373</v>
      </c>
      <c r="H83" s="19"/>
      <c r="I83" s="19"/>
      <c r="J83" s="19"/>
      <c r="K83" s="19"/>
    </row>
    <row r="84" spans="2:11">
      <c r="B84" s="5">
        <v>2021</v>
      </c>
      <c r="C84" s="99">
        <f t="shared" si="111"/>
        <v>143.58999999999997</v>
      </c>
      <c r="D84" s="20">
        <f t="shared" si="114"/>
        <v>1061.4900000000002</v>
      </c>
      <c r="E84" s="19">
        <f t="shared" si="110"/>
        <v>38743.898337506282</v>
      </c>
      <c r="F84" s="19">
        <f t="shared" si="112"/>
        <v>14107.383377231992</v>
      </c>
      <c r="G84" s="24">
        <f t="shared" si="113"/>
        <v>14107.383377231992</v>
      </c>
      <c r="H84" s="19"/>
      <c r="I84" s="19"/>
      <c r="J84" s="19"/>
      <c r="K84" s="19"/>
    </row>
    <row r="85" spans="2:11">
      <c r="B85" s="5">
        <v>2022</v>
      </c>
      <c r="C85" s="99">
        <f t="shared" si="111"/>
        <v>36.879999999999995</v>
      </c>
      <c r="D85" s="20">
        <f t="shared" si="114"/>
        <v>1098.3700000000003</v>
      </c>
      <c r="E85" s="19">
        <f t="shared" si="110"/>
        <v>54926.355817477393</v>
      </c>
      <c r="F85" s="19">
        <f t="shared" si="112"/>
        <v>16182.457479971112</v>
      </c>
      <c r="G85" s="24">
        <f t="shared" si="113"/>
        <v>16182.457479971112</v>
      </c>
      <c r="H85" s="19"/>
      <c r="I85" s="19"/>
      <c r="J85" s="19"/>
      <c r="K85" s="19"/>
    </row>
    <row r="86" spans="2:11">
      <c r="B86" s="5">
        <v>2023</v>
      </c>
      <c r="C86" s="99">
        <f t="shared" si="111"/>
        <v>104.38000000000001</v>
      </c>
      <c r="D86" s="20">
        <f t="shared" si="114"/>
        <v>1202.7500000000005</v>
      </c>
      <c r="E86" s="19">
        <f t="shared" si="110"/>
        <v>72510.921162789193</v>
      </c>
      <c r="F86" s="19">
        <f t="shared" si="112"/>
        <v>17584.565345311799</v>
      </c>
      <c r="G86" s="24">
        <f t="shared" si="113"/>
        <v>17584.565345311799</v>
      </c>
      <c r="H86" s="19"/>
      <c r="I86" s="19"/>
      <c r="J86" s="19"/>
      <c r="K86" s="19"/>
    </row>
    <row r="87" spans="2:11">
      <c r="B87" s="5">
        <v>2024</v>
      </c>
      <c r="C87" s="99">
        <f t="shared" si="111"/>
        <v>39.850000000000016</v>
      </c>
      <c r="D87" s="20">
        <f t="shared" si="114"/>
        <v>1242.6000000000004</v>
      </c>
      <c r="E87" s="19">
        <f t="shared" si="110"/>
        <v>87855.458655580631</v>
      </c>
      <c r="F87" s="19">
        <f t="shared" si="112"/>
        <v>15344.537492791438</v>
      </c>
      <c r="G87" s="24">
        <f t="shared" si="113"/>
        <v>15344.537492791438</v>
      </c>
      <c r="H87" s="19"/>
      <c r="I87" s="19"/>
      <c r="J87" s="19"/>
      <c r="K87" s="19"/>
    </row>
    <row r="88" spans="2:11">
      <c r="B88" s="5">
        <v>2025</v>
      </c>
      <c r="C88" s="99">
        <f t="shared" si="111"/>
        <v>62.52</v>
      </c>
      <c r="D88" s="20">
        <f t="shared" si="114"/>
        <v>1305.1200000000003</v>
      </c>
      <c r="E88" s="19">
        <f t="shared" si="110"/>
        <v>67782.178355577111</v>
      </c>
      <c r="F88" s="19">
        <f t="shared" si="112"/>
        <v>-20073.28030000352</v>
      </c>
      <c r="G88" s="24">
        <f t="shared" si="113"/>
        <v>0</v>
      </c>
      <c r="H88" s="19"/>
      <c r="I88" s="19"/>
      <c r="J88" s="19"/>
      <c r="K88" s="19"/>
    </row>
    <row r="89" spans="2:11">
      <c r="B89" s="5">
        <v>2026</v>
      </c>
      <c r="C89" s="99">
        <f t="shared" si="111"/>
        <v>300</v>
      </c>
      <c r="D89" s="20">
        <f t="shared" si="114"/>
        <v>1605.1200000000003</v>
      </c>
      <c r="E89" s="19">
        <f t="shared" si="110"/>
        <v>74570.349998003949</v>
      </c>
      <c r="F89" s="19">
        <f t="shared" si="112"/>
        <v>6788.1716424268379</v>
      </c>
      <c r="G89" s="24">
        <f t="shared" si="113"/>
        <v>6788.1716424268379</v>
      </c>
      <c r="H89" s="19"/>
      <c r="I89" s="19"/>
      <c r="J89" s="19"/>
      <c r="K89" s="19"/>
    </row>
    <row r="90" spans="2:11">
      <c r="B90" s="5">
        <v>2027</v>
      </c>
      <c r="C90" s="99">
        <f t="shared" si="111"/>
        <v>300</v>
      </c>
      <c r="D90" s="20">
        <f t="shared" si="114"/>
        <v>1905.1200000000003</v>
      </c>
      <c r="E90" s="19">
        <f t="shared" si="110"/>
        <v>64979.924973360838</v>
      </c>
      <c r="F90" s="19">
        <f t="shared" si="112"/>
        <v>-9590.4250246431111</v>
      </c>
      <c r="G90" s="24">
        <f t="shared" si="113"/>
        <v>0</v>
      </c>
      <c r="H90" s="19"/>
      <c r="I90" s="19"/>
      <c r="J90" s="19"/>
      <c r="K90" s="19"/>
    </row>
    <row r="91" spans="2:11">
      <c r="B91" s="5">
        <v>2028</v>
      </c>
      <c r="C91" s="99">
        <f t="shared" si="111"/>
        <v>300</v>
      </c>
      <c r="D91" s="20">
        <f t="shared" si="114"/>
        <v>2205.1200000000003</v>
      </c>
      <c r="E91" s="19">
        <f t="shared" si="110"/>
        <v>87081.973779803157</v>
      </c>
      <c r="F91" s="19">
        <f t="shared" si="112"/>
        <v>22102.048806442319</v>
      </c>
      <c r="G91" s="24">
        <f t="shared" si="113"/>
        <v>22102.048806442319</v>
      </c>
      <c r="H91" s="19"/>
      <c r="I91" s="19"/>
      <c r="J91" s="19"/>
      <c r="K91" s="19"/>
    </row>
    <row r="92" spans="2:11">
      <c r="B92" s="5">
        <v>2029</v>
      </c>
      <c r="C92" s="99">
        <f t="shared" si="111"/>
        <v>300</v>
      </c>
      <c r="D92" s="20">
        <f t="shared" si="114"/>
        <v>2505.1200000000003</v>
      </c>
      <c r="E92" s="19">
        <f t="shared" si="110"/>
        <v>105582.37889160222</v>
      </c>
      <c r="F92" s="19">
        <f t="shared" si="112"/>
        <v>18500.40511179906</v>
      </c>
      <c r="G92" s="24">
        <f t="shared" si="113"/>
        <v>18500.40511179906</v>
      </c>
      <c r="H92" s="19"/>
      <c r="I92" s="19"/>
      <c r="J92" s="19"/>
      <c r="K92" s="19"/>
    </row>
    <row r="93" spans="2:11">
      <c r="B93" s="5">
        <v>2030</v>
      </c>
      <c r="C93" s="99">
        <f t="shared" si="111"/>
        <v>300</v>
      </c>
      <c r="D93" s="20">
        <f t="shared" si="114"/>
        <v>2805.1200000000003</v>
      </c>
      <c r="E93" s="19">
        <f t="shared" si="110"/>
        <v>143308.95864690893</v>
      </c>
      <c r="F93" s="19">
        <f t="shared" si="112"/>
        <v>37726.57975530671</v>
      </c>
      <c r="G93" s="24">
        <f t="shared" si="113"/>
        <v>37726.57975530671</v>
      </c>
      <c r="H93" s="19"/>
      <c r="I93" s="19"/>
      <c r="J93" s="19"/>
      <c r="K93" s="19"/>
    </row>
    <row r="94" spans="2:11">
      <c r="B94" s="5">
        <v>2031</v>
      </c>
      <c r="C94" s="99">
        <f t="shared" si="111"/>
        <v>300</v>
      </c>
      <c r="D94" s="20">
        <f t="shared" si="114"/>
        <v>3105.1200000000003</v>
      </c>
      <c r="E94" s="19">
        <f t="shared" si="110"/>
        <v>178485.4907824471</v>
      </c>
      <c r="F94" s="19">
        <f t="shared" si="112"/>
        <v>35176.532135538175</v>
      </c>
      <c r="G94" s="24">
        <f>E111-SUM(G80:G93)</f>
        <v>10594.198030395724</v>
      </c>
      <c r="H94" s="19"/>
      <c r="I94" s="19"/>
      <c r="J94" s="19"/>
      <c r="K94" s="19"/>
    </row>
    <row r="95" spans="2:11">
      <c r="B95" s="5">
        <v>2032</v>
      </c>
      <c r="C95" s="99">
        <f t="shared" si="111"/>
        <v>300</v>
      </c>
      <c r="D95" s="20">
        <f t="shared" si="114"/>
        <v>3405.1200000000003</v>
      </c>
      <c r="E95" s="19">
        <f t="shared" si="110"/>
        <v>216372.65355260891</v>
      </c>
      <c r="F95" s="19">
        <f t="shared" si="112"/>
        <v>37887.162770161813</v>
      </c>
      <c r="G95" s="24"/>
      <c r="H95" s="19"/>
      <c r="I95" s="19"/>
      <c r="J95" s="19"/>
      <c r="K95" s="19"/>
    </row>
    <row r="96" spans="2:11">
      <c r="B96" s="5">
        <v>2033</v>
      </c>
      <c r="C96" s="99">
        <f t="shared" si="111"/>
        <v>300</v>
      </c>
      <c r="D96" s="20">
        <f t="shared" si="114"/>
        <v>3705.1200000000003</v>
      </c>
      <c r="E96" s="19">
        <f t="shared" si="110"/>
        <v>215603.241054841</v>
      </c>
      <c r="F96" s="19">
        <f t="shared" si="112"/>
        <v>-769.41249776791665</v>
      </c>
      <c r="G96" s="24"/>
      <c r="H96" s="19"/>
      <c r="I96" s="19"/>
      <c r="J96" s="19"/>
      <c r="K96" s="19"/>
    </row>
    <row r="97" spans="2:11">
      <c r="B97" s="5">
        <v>2034</v>
      </c>
      <c r="C97" s="99">
        <f t="shared" si="111"/>
        <v>300</v>
      </c>
      <c r="D97" s="20">
        <f t="shared" si="114"/>
        <v>4005.1200000000003</v>
      </c>
      <c r="E97" s="19">
        <f t="shared" si="110"/>
        <v>219277.00736346591</v>
      </c>
      <c r="F97" s="19">
        <f t="shared" si="112"/>
        <v>3673.7663086249086</v>
      </c>
      <c r="G97" s="24"/>
      <c r="H97" s="19"/>
      <c r="I97" s="19"/>
      <c r="J97" s="19"/>
      <c r="K97" s="19"/>
    </row>
    <row r="98" spans="2:11">
      <c r="B98" s="5">
        <v>2035</v>
      </c>
      <c r="C98" s="99">
        <f t="shared" si="111"/>
        <v>300</v>
      </c>
      <c r="D98" s="20">
        <f t="shared" si="114"/>
        <v>4305.1200000000008</v>
      </c>
      <c r="E98" s="19">
        <f t="shared" si="110"/>
        <v>205411.28708947168</v>
      </c>
      <c r="F98" s="19">
        <f t="shared" si="112"/>
        <v>-13865.72027399423</v>
      </c>
      <c r="G98" s="24"/>
      <c r="H98" s="19"/>
      <c r="I98" s="19"/>
      <c r="J98" s="19"/>
      <c r="K98" s="19"/>
    </row>
    <row r="99" spans="2:11">
      <c r="B99" s="5">
        <v>2036</v>
      </c>
      <c r="C99" s="99">
        <f t="shared" si="111"/>
        <v>300</v>
      </c>
      <c r="D99" s="20">
        <f t="shared" si="114"/>
        <v>4605.1200000000008</v>
      </c>
      <c r="E99" s="19">
        <f t="shared" si="110"/>
        <v>225474.40524272379</v>
      </c>
      <c r="F99" s="19">
        <f t="shared" si="112"/>
        <v>20063.118153252115</v>
      </c>
      <c r="G99" s="24"/>
      <c r="H99" s="19"/>
      <c r="I99" s="19"/>
      <c r="J99" s="19"/>
      <c r="K99" s="19"/>
    </row>
    <row r="100" spans="2:11">
      <c r="B100" s="5">
        <v>2037</v>
      </c>
      <c r="C100" s="99">
        <f t="shared" si="111"/>
        <v>300</v>
      </c>
      <c r="D100" s="20">
        <f t="shared" si="114"/>
        <v>4905.1200000000008</v>
      </c>
      <c r="E100" s="19">
        <f t="shared" si="110"/>
        <v>242876.08204531125</v>
      </c>
      <c r="F100" s="19">
        <f t="shared" si="112"/>
        <v>17401.676802587463</v>
      </c>
      <c r="G100" s="24"/>
      <c r="H100" s="19"/>
      <c r="I100" s="19"/>
      <c r="J100" s="19"/>
      <c r="K100" s="19"/>
    </row>
    <row r="101" spans="2:11">
      <c r="B101" s="5">
        <v>2038</v>
      </c>
      <c r="C101" s="99">
        <f t="shared" si="111"/>
        <v>300</v>
      </c>
      <c r="D101" s="20">
        <f t="shared" si="114"/>
        <v>5205.1200000000008</v>
      </c>
      <c r="E101" s="19">
        <f t="shared" si="110"/>
        <v>279334.76428299147</v>
      </c>
      <c r="F101" s="19">
        <f t="shared" si="112"/>
        <v>36458.682237680216</v>
      </c>
      <c r="G101" s="24"/>
      <c r="H101" s="19"/>
      <c r="I101" s="19"/>
      <c r="J101" s="19"/>
      <c r="K101" s="19"/>
    </row>
    <row r="102" spans="2:11">
      <c r="B102" s="5">
        <v>2039</v>
      </c>
      <c r="C102" s="99">
        <f t="shared" si="111"/>
        <v>300</v>
      </c>
      <c r="D102" s="20">
        <f t="shared" si="114"/>
        <v>5505.1200000000008</v>
      </c>
      <c r="E102" s="19">
        <f t="shared" si="110"/>
        <v>310602.91905657912</v>
      </c>
      <c r="F102" s="19">
        <f t="shared" si="112"/>
        <v>31268.154773587652</v>
      </c>
      <c r="G102" s="24"/>
      <c r="H102" s="19"/>
      <c r="I102" s="19"/>
      <c r="J102" s="19"/>
      <c r="K102" s="19"/>
    </row>
    <row r="103" spans="2:11">
      <c r="B103" s="5">
        <v>2040</v>
      </c>
      <c r="C103" s="99">
        <f t="shared" si="111"/>
        <v>300</v>
      </c>
      <c r="D103" s="20">
        <f t="shared" si="114"/>
        <v>5805.1200000000008</v>
      </c>
      <c r="E103" s="19">
        <f t="shared" si="110"/>
        <v>354890.13345530053</v>
      </c>
      <c r="F103" s="19">
        <f t="shared" si="112"/>
        <v>44287.214398721408</v>
      </c>
      <c r="G103" s="24"/>
      <c r="H103" s="19"/>
      <c r="I103" s="19"/>
      <c r="J103" s="19"/>
      <c r="K103" s="19"/>
    </row>
    <row r="104" spans="2:11">
      <c r="B104" s="5">
        <v>2041</v>
      </c>
      <c r="C104" s="99">
        <f t="shared" si="111"/>
        <v>300</v>
      </c>
      <c r="D104" s="20">
        <f t="shared" si="114"/>
        <v>6105.1200000000008</v>
      </c>
      <c r="E104" s="19">
        <f t="shared" si="110"/>
        <v>367776.72767230077</v>
      </c>
      <c r="F104" s="19">
        <f t="shared" si="112"/>
        <v>12886.594217000238</v>
      </c>
      <c r="G104" s="24"/>
      <c r="H104" s="19"/>
      <c r="I104" s="19"/>
      <c r="J104" s="19"/>
      <c r="K104" s="19"/>
    </row>
    <row r="105" spans="2:11">
      <c r="B105" s="5">
        <v>2042</v>
      </c>
      <c r="C105" s="99">
        <f t="shared" si="111"/>
        <v>300</v>
      </c>
      <c r="D105" s="20">
        <f t="shared" si="114"/>
        <v>6405.1200000000008</v>
      </c>
      <c r="E105" s="19">
        <f t="shared" si="110"/>
        <v>368076.90310012485</v>
      </c>
      <c r="F105" s="19">
        <f t="shared" si="112"/>
        <v>300.17542782408418</v>
      </c>
      <c r="G105" s="24"/>
      <c r="H105" s="19"/>
      <c r="I105" s="19"/>
      <c r="J105" s="19"/>
      <c r="K105" s="19"/>
    </row>
    <row r="106" spans="2:11">
      <c r="B106" s="5">
        <v>2043</v>
      </c>
      <c r="C106" s="99">
        <f t="shared" si="111"/>
        <v>300</v>
      </c>
      <c r="D106" s="20">
        <f t="shared" si="114"/>
        <v>6705.1200000000008</v>
      </c>
      <c r="E106" s="19">
        <f t="shared" si="110"/>
        <v>353541.8611408174</v>
      </c>
      <c r="F106" s="19">
        <f t="shared" si="112"/>
        <v>-14535.041959307448</v>
      </c>
      <c r="G106" s="24"/>
      <c r="H106" s="19"/>
      <c r="I106" s="19"/>
      <c r="J106" s="19"/>
      <c r="K106" s="19"/>
    </row>
    <row r="107" spans="2:11">
      <c r="B107" s="5">
        <v>2044</v>
      </c>
      <c r="C107" s="99">
        <f t="shared" si="111"/>
        <v>300</v>
      </c>
      <c r="D107" s="20">
        <f t="shared" si="114"/>
        <v>7005.1200000000008</v>
      </c>
      <c r="E107" s="19">
        <f t="shared" si="110"/>
        <v>364552.66624623776</v>
      </c>
      <c r="F107" s="19">
        <f t="shared" si="112"/>
        <v>11010.805105420353</v>
      </c>
      <c r="G107" s="24"/>
      <c r="H107" s="19"/>
      <c r="I107" s="19"/>
      <c r="J107" s="19"/>
      <c r="K107" s="19"/>
    </row>
    <row r="108" spans="2:11">
      <c r="B108" s="5">
        <v>2045</v>
      </c>
      <c r="C108" s="99">
        <f t="shared" si="111"/>
        <v>300</v>
      </c>
      <c r="D108" s="20">
        <f t="shared" si="114"/>
        <v>7305.1200000000008</v>
      </c>
      <c r="E108" s="19">
        <f t="shared" si="110"/>
        <v>369905.49224251625</v>
      </c>
      <c r="F108" s="19">
        <f t="shared" si="112"/>
        <v>5352.8259962784941</v>
      </c>
      <c r="G108" s="24"/>
      <c r="H108" s="19"/>
      <c r="I108" s="19"/>
      <c r="J108" s="19"/>
      <c r="K108" s="19"/>
    </row>
    <row r="109" spans="2:11">
      <c r="B109" s="73">
        <v>2046</v>
      </c>
      <c r="C109" s="72">
        <f t="shared" si="111"/>
        <v>300</v>
      </c>
      <c r="D109" s="97">
        <f t="shared" si="114"/>
        <v>7605.1200000000008</v>
      </c>
      <c r="E109" s="23">
        <f t="shared" si="110"/>
        <v>393380.19944128866</v>
      </c>
      <c r="F109" s="23">
        <f t="shared" si="112"/>
        <v>23474.707198772405</v>
      </c>
      <c r="G109" s="63"/>
      <c r="H109" s="19"/>
      <c r="I109" s="19"/>
      <c r="J109" s="19"/>
      <c r="K109" s="19"/>
    </row>
    <row r="111" spans="2:11">
      <c r="B111" s="93"/>
      <c r="C111" s="94"/>
      <c r="D111" s="95" t="s">
        <v>206</v>
      </c>
      <c r="E111" s="96">
        <f>AVERAGE(E80:E109)</f>
        <v>183566.86200195126</v>
      </c>
    </row>
    <row r="112" spans="2:11">
      <c r="B112" s="93"/>
      <c r="C112" s="94"/>
      <c r="D112" s="95" t="s">
        <v>207</v>
      </c>
      <c r="E112" s="100">
        <f>E111/D109</f>
        <v>24.137273573849097</v>
      </c>
    </row>
  </sheetData>
  <phoneticPr fontId="19" type="noConversion"/>
  <pageMargins left="0.7" right="0.7" top="0.75" bottom="0.75" header="0.3" footer="0.3"/>
  <ignoredErrors>
    <ignoredError sqref="O6 AQ6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D168DC40C3942A43D50C816FAF361" ma:contentTypeVersion="10" ma:contentTypeDescription="Create a new document." ma:contentTypeScope="" ma:versionID="a8ace9436fc5b203658347e70a5d72e4">
  <xsd:schema xmlns:xsd="http://www.w3.org/2001/XMLSchema" xmlns:xs="http://www.w3.org/2001/XMLSchema" xmlns:p="http://schemas.microsoft.com/office/2006/metadata/properties" xmlns:ns2="6edfdcef-9c9d-4926-9184-283e21d11203" xmlns:ns3="1ce5d4b1-18fa-4b38-b68c-0cc1fd1e9d12" targetNamespace="http://schemas.microsoft.com/office/2006/metadata/properties" ma:root="true" ma:fieldsID="bed4ce7f41f5bbd0cbe1c2f548a41d94" ns2:_="" ns3:_="">
    <xsd:import namespace="6edfdcef-9c9d-4926-9184-283e21d11203"/>
    <xsd:import namespace="1ce5d4b1-18fa-4b38-b68c-0cc1fd1e9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fdcef-9c9d-4926-9184-283e21d11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a62546-9a84-4e65-bac5-7de6b9150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5d4b1-18fa-4b38-b68c-0cc1fd1e9d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3d4992-1737-43fc-a999-578cf4ddb52e}" ma:internalName="TaxCatchAll" ma:showField="CatchAllData" ma:web="1ce5d4b1-18fa-4b38-b68c-0cc1fd1e9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dfdcef-9c9d-4926-9184-283e21d11203">
      <Terms xmlns="http://schemas.microsoft.com/office/infopath/2007/PartnerControls"/>
    </lcf76f155ced4ddcb4097134ff3c332f>
    <TaxCatchAll xmlns="1ce5d4b1-18fa-4b38-b68c-0cc1fd1e9d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D05096-FC4F-4A1E-B2CA-4E3385E90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dfdcef-9c9d-4926-9184-283e21d11203"/>
    <ds:schemaRef ds:uri="1ce5d4b1-18fa-4b38-b68c-0cc1fd1e9d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F2A46-07F0-4E6E-AEA0-FE49BA9ADB1D}">
  <ds:schemaRefs>
    <ds:schemaRef ds:uri="http://purl.org/dc/terms/"/>
    <ds:schemaRef ds:uri="1ce5d4b1-18fa-4b38-b68c-0cc1fd1e9d12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6edfdcef-9c9d-4926-9184-283e21d11203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54D360-E64E-4419-B580-DDBE20D925E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Carbon seq model</vt:lpstr>
      <vt:lpstr>Transposed PD tables</vt:lpstr>
      <vt:lpstr>Project area</vt:lpstr>
      <vt:lpstr>NFC Growth model (MAI tables)</vt:lpstr>
      <vt:lpstr>Outgrower Woody C 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Van Heerden</dc:creator>
  <cp:lastModifiedBy>Martinez de la Hoz, Gabriela G SIEPBV-DRD/N/E</cp:lastModifiedBy>
  <dcterms:created xsi:type="dcterms:W3CDTF">2021-11-12T09:14:26Z</dcterms:created>
  <dcterms:modified xsi:type="dcterms:W3CDTF">2026-01-27T18:55:44Z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0x0101005C8D168DC40C3942A43D50C816FAF361</vt:lpwstr>
  </property>
  <property fmtid="{D5CDD505-2E9C-101B-9397-08002B2CF9AE}" pid="3" name="MediaServiceImageTags">
    <vt:lpwstr/>
  </property>
</Properties>
</file>